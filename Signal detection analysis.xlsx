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"/>
    </mc:Choice>
  </mc:AlternateContent>
  <xr:revisionPtr revIDLastSave="12" documentId="11_F25DC773A252ABDACC104841519E6E6E5BDE58E1" xr6:coauthVersionLast="47" xr6:coauthVersionMax="47" xr10:uidLastSave="{2B12E23C-8EDA-41B6-A3C2-5A5EA3855949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F12" i="2"/>
  <c r="F6" i="2"/>
  <c r="F5" i="2"/>
  <c r="F102" i="1"/>
  <c r="G102" i="1"/>
  <c r="H102" i="1"/>
  <c r="E102" i="1"/>
</calcChain>
</file>

<file path=xl/sharedStrings.xml><?xml version="1.0" encoding="utf-8"?>
<sst xmlns="http://schemas.openxmlformats.org/spreadsheetml/2006/main" count="128" uniqueCount="26">
  <si>
    <t>key_resp.keys</t>
  </si>
  <si>
    <t>key_resp.corr</t>
  </si>
  <si>
    <t>tilt</t>
  </si>
  <si>
    <t>up</t>
  </si>
  <si>
    <t>down</t>
  </si>
  <si>
    <t>hit</t>
  </si>
  <si>
    <t>miss</t>
  </si>
  <si>
    <t>fa</t>
  </si>
  <si>
    <t>cr</t>
  </si>
  <si>
    <t>Signal Present</t>
  </si>
  <si>
    <t>Signal Absent</t>
  </si>
  <si>
    <t>Respond YES</t>
  </si>
  <si>
    <t>Respond NO</t>
  </si>
  <si>
    <t>Miss</t>
  </si>
  <si>
    <t>Correct Rejection</t>
  </si>
  <si>
    <t>Hit</t>
  </si>
  <si>
    <t>False alarm</t>
  </si>
  <si>
    <t xml:space="preserve"> </t>
  </si>
  <si>
    <t>prop hit = hit/hit+miss</t>
  </si>
  <si>
    <t>prop fa = fa/fa+cr</t>
  </si>
  <si>
    <t>ANALYSIS</t>
  </si>
  <si>
    <t>SUM</t>
  </si>
  <si>
    <t>d-prime = z(prop hit) - z(prop fa)</t>
  </si>
  <si>
    <t>c = -z(prop hit) + z(prop fa)/2</t>
  </si>
  <si>
    <t>Conservative c</t>
  </si>
  <si>
    <t>Bias to respond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</si>
</sst>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opLeftCell="A13" workbookViewId="0">
      <selection activeCell="C3" sqref="C3"/>
    </sheetView>
  </sheetViews>
  <sheetFormatPr defaultRowHeight="15.6" x14ac:dyDescent="0.3"/>
  <cols>
    <col min="1" max="1" width="17" style="2" customWidth="1"/>
    <col min="2" max="2" width="18" style="2" customWidth="1"/>
    <col min="3" max="3" width="12.77734375" style="2" customWidth="1"/>
    <col min="4" max="16384" width="8.88671875" style="2"/>
  </cols>
  <sheetData>
    <row r="1" spans="1:8" x14ac:dyDescent="0.3">
      <c r="A1" s="2" t="s">
        <v>0</v>
      </c>
      <c r="B1" s="2" t="s">
        <v>1</v>
      </c>
      <c r="C1" s="2" t="s">
        <v>2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2" t="s">
        <v>3</v>
      </c>
      <c r="B2" s="2">
        <v>1</v>
      </c>
      <c r="C2" s="2">
        <v>0</v>
      </c>
      <c r="E2" s="2">
        <v>1</v>
      </c>
    </row>
    <row r="3" spans="1:8" x14ac:dyDescent="0.3">
      <c r="A3" s="2" t="s">
        <v>3</v>
      </c>
      <c r="B3" s="2">
        <v>0</v>
      </c>
      <c r="C3" s="2">
        <v>-2</v>
      </c>
      <c r="G3" s="2">
        <v>1</v>
      </c>
    </row>
    <row r="4" spans="1:8" x14ac:dyDescent="0.3">
      <c r="A4" s="2" t="s">
        <v>4</v>
      </c>
      <c r="B4" s="2">
        <v>1</v>
      </c>
      <c r="C4" s="2">
        <v>4</v>
      </c>
      <c r="H4" s="2">
        <v>1</v>
      </c>
    </row>
    <row r="5" spans="1:8" x14ac:dyDescent="0.3">
      <c r="A5" s="2" t="s">
        <v>4</v>
      </c>
      <c r="B5" s="2">
        <v>0</v>
      </c>
      <c r="C5" s="2">
        <v>0</v>
      </c>
      <c r="F5" s="2">
        <v>1</v>
      </c>
    </row>
    <row r="6" spans="1:8" x14ac:dyDescent="0.3">
      <c r="A6" s="2" t="s">
        <v>3</v>
      </c>
      <c r="B6" s="2">
        <v>1</v>
      </c>
      <c r="C6" s="2">
        <v>0</v>
      </c>
      <c r="E6" s="2">
        <v>1</v>
      </c>
    </row>
    <row r="7" spans="1:8" x14ac:dyDescent="0.3">
      <c r="A7" s="2" t="s">
        <v>4</v>
      </c>
      <c r="B7" s="2">
        <v>1</v>
      </c>
      <c r="C7" s="2">
        <v>4</v>
      </c>
      <c r="H7" s="2">
        <v>1</v>
      </c>
    </row>
    <row r="8" spans="1:8" x14ac:dyDescent="0.3">
      <c r="A8" s="2" t="s">
        <v>3</v>
      </c>
      <c r="B8" s="2">
        <v>1</v>
      </c>
      <c r="C8" s="2">
        <v>0</v>
      </c>
      <c r="E8" s="2">
        <v>1</v>
      </c>
    </row>
    <row r="9" spans="1:8" x14ac:dyDescent="0.3">
      <c r="A9" s="2" t="s">
        <v>4</v>
      </c>
      <c r="B9" s="2">
        <v>1</v>
      </c>
      <c r="C9" s="2">
        <v>-4</v>
      </c>
      <c r="H9" s="2">
        <v>1</v>
      </c>
    </row>
    <row r="10" spans="1:8" x14ac:dyDescent="0.3">
      <c r="A10" s="2" t="s">
        <v>4</v>
      </c>
      <c r="B10" s="2">
        <v>1</v>
      </c>
      <c r="C10" s="2">
        <v>-3</v>
      </c>
      <c r="H10" s="2">
        <v>1</v>
      </c>
    </row>
    <row r="11" spans="1:8" x14ac:dyDescent="0.3">
      <c r="A11" s="2" t="s">
        <v>4</v>
      </c>
      <c r="B11" s="2">
        <v>0</v>
      </c>
      <c r="C11" s="2">
        <v>0</v>
      </c>
      <c r="F11" s="2">
        <v>1</v>
      </c>
    </row>
    <row r="12" spans="1:8" x14ac:dyDescent="0.3">
      <c r="A12" s="2" t="s">
        <v>3</v>
      </c>
      <c r="B12" s="2">
        <v>0</v>
      </c>
      <c r="C12" s="2">
        <v>1</v>
      </c>
      <c r="G12" s="2">
        <v>1</v>
      </c>
    </row>
    <row r="13" spans="1:8" x14ac:dyDescent="0.3">
      <c r="A13" s="2" t="s">
        <v>3</v>
      </c>
      <c r="B13" s="2">
        <v>1</v>
      </c>
      <c r="C13" s="2">
        <v>0</v>
      </c>
      <c r="E13" s="2">
        <v>1</v>
      </c>
    </row>
    <row r="14" spans="1:8" x14ac:dyDescent="0.3">
      <c r="A14" s="2" t="s">
        <v>4</v>
      </c>
      <c r="B14" s="2">
        <v>1</v>
      </c>
      <c r="C14" s="2">
        <v>-4</v>
      </c>
      <c r="H14" s="2">
        <v>1</v>
      </c>
    </row>
    <row r="15" spans="1:8" x14ac:dyDescent="0.3">
      <c r="A15" s="2" t="s">
        <v>3</v>
      </c>
      <c r="B15" s="2">
        <v>1</v>
      </c>
      <c r="C15" s="2">
        <v>0</v>
      </c>
      <c r="E15" s="2">
        <v>1</v>
      </c>
    </row>
    <row r="16" spans="1:8" x14ac:dyDescent="0.3">
      <c r="A16" s="2" t="s">
        <v>4</v>
      </c>
      <c r="B16" s="2">
        <v>1</v>
      </c>
      <c r="C16" s="2">
        <v>3</v>
      </c>
      <c r="H16" s="2">
        <v>1</v>
      </c>
    </row>
    <row r="17" spans="1:8" x14ac:dyDescent="0.3">
      <c r="A17" s="2" t="s">
        <v>4</v>
      </c>
      <c r="B17" s="2">
        <v>0</v>
      </c>
      <c r="C17" s="2">
        <v>0</v>
      </c>
      <c r="F17" s="2">
        <v>1</v>
      </c>
    </row>
    <row r="18" spans="1:8" x14ac:dyDescent="0.3">
      <c r="A18" s="2" t="s">
        <v>3</v>
      </c>
      <c r="B18" s="2">
        <v>0</v>
      </c>
      <c r="C18" s="2">
        <v>4</v>
      </c>
      <c r="G18" s="2">
        <v>1</v>
      </c>
    </row>
    <row r="19" spans="1:8" x14ac:dyDescent="0.3">
      <c r="A19" s="2" t="s">
        <v>3</v>
      </c>
      <c r="B19" s="2">
        <v>1</v>
      </c>
      <c r="C19" s="2">
        <v>0</v>
      </c>
      <c r="E19" s="2">
        <v>1</v>
      </c>
    </row>
    <row r="20" spans="1:8" x14ac:dyDescent="0.3">
      <c r="A20" s="2" t="s">
        <v>4</v>
      </c>
      <c r="B20" s="2">
        <v>1</v>
      </c>
      <c r="C20" s="2">
        <v>-4</v>
      </c>
      <c r="H20" s="2">
        <v>1</v>
      </c>
    </row>
    <row r="21" spans="1:8" x14ac:dyDescent="0.3">
      <c r="A21" s="2" t="s">
        <v>4</v>
      </c>
      <c r="B21" s="2">
        <v>0</v>
      </c>
      <c r="C21" s="2">
        <v>0</v>
      </c>
      <c r="F21" s="2">
        <v>1</v>
      </c>
    </row>
    <row r="22" spans="1:8" x14ac:dyDescent="0.3">
      <c r="A22" s="2" t="s">
        <v>3</v>
      </c>
      <c r="B22" s="2">
        <v>0</v>
      </c>
      <c r="C22" s="2">
        <v>-2</v>
      </c>
      <c r="G22" s="2">
        <v>1</v>
      </c>
    </row>
    <row r="23" spans="1:8" x14ac:dyDescent="0.3">
      <c r="A23" s="2" t="s">
        <v>4</v>
      </c>
      <c r="B23" s="2">
        <v>1</v>
      </c>
      <c r="C23" s="2">
        <v>-3</v>
      </c>
      <c r="H23" s="2">
        <v>1</v>
      </c>
    </row>
    <row r="24" spans="1:8" x14ac:dyDescent="0.3">
      <c r="A24" s="2" t="s">
        <v>3</v>
      </c>
      <c r="B24" s="2">
        <v>1</v>
      </c>
      <c r="C24" s="2">
        <v>0</v>
      </c>
      <c r="E24" s="2">
        <v>1</v>
      </c>
    </row>
    <row r="25" spans="1:8" x14ac:dyDescent="0.3">
      <c r="A25" s="2" t="s">
        <v>4</v>
      </c>
      <c r="B25" s="2">
        <v>1</v>
      </c>
      <c r="C25" s="2">
        <v>4</v>
      </c>
      <c r="H25" s="2">
        <v>1</v>
      </c>
    </row>
    <row r="26" spans="1:8" x14ac:dyDescent="0.3">
      <c r="A26" s="2" t="s">
        <v>4</v>
      </c>
      <c r="B26" s="2">
        <v>1</v>
      </c>
      <c r="C26" s="2">
        <v>4</v>
      </c>
      <c r="H26" s="2">
        <v>1</v>
      </c>
    </row>
    <row r="27" spans="1:8" x14ac:dyDescent="0.3">
      <c r="A27" s="2" t="s">
        <v>3</v>
      </c>
      <c r="B27" s="2">
        <v>0</v>
      </c>
      <c r="C27" s="2">
        <v>1</v>
      </c>
      <c r="G27" s="2">
        <v>1</v>
      </c>
    </row>
    <row r="28" spans="1:8" x14ac:dyDescent="0.3">
      <c r="A28" s="2" t="s">
        <v>3</v>
      </c>
      <c r="B28" s="2">
        <v>1</v>
      </c>
      <c r="C28" s="2">
        <v>0</v>
      </c>
      <c r="E28" s="2">
        <v>1</v>
      </c>
    </row>
    <row r="29" spans="1:8" x14ac:dyDescent="0.3">
      <c r="A29" s="2" t="s">
        <v>3</v>
      </c>
      <c r="B29" s="2">
        <v>1</v>
      </c>
      <c r="C29" s="2">
        <v>0</v>
      </c>
      <c r="E29" s="2">
        <v>1</v>
      </c>
    </row>
    <row r="30" spans="1:8" x14ac:dyDescent="0.3">
      <c r="A30" s="2" t="s">
        <v>3</v>
      </c>
      <c r="B30" s="2">
        <v>0</v>
      </c>
      <c r="C30" s="2">
        <v>2</v>
      </c>
      <c r="G30" s="2">
        <v>1</v>
      </c>
    </row>
    <row r="31" spans="1:8" x14ac:dyDescent="0.3">
      <c r="A31" s="2" t="s">
        <v>4</v>
      </c>
      <c r="B31" s="2">
        <v>1</v>
      </c>
      <c r="C31" s="2">
        <v>-5</v>
      </c>
      <c r="H31" s="2">
        <v>1</v>
      </c>
    </row>
    <row r="32" spans="1:8" x14ac:dyDescent="0.3">
      <c r="A32" s="2" t="s">
        <v>4</v>
      </c>
      <c r="B32" s="2">
        <v>1</v>
      </c>
      <c r="C32" s="2">
        <v>3</v>
      </c>
      <c r="H32" s="2">
        <v>1</v>
      </c>
    </row>
    <row r="33" spans="1:8" x14ac:dyDescent="0.3">
      <c r="A33" s="2" t="s">
        <v>3</v>
      </c>
      <c r="B33" s="2">
        <v>1</v>
      </c>
      <c r="C33" s="2">
        <v>0</v>
      </c>
      <c r="E33" s="2">
        <v>1</v>
      </c>
    </row>
    <row r="34" spans="1:8" x14ac:dyDescent="0.3">
      <c r="A34" s="2" t="s">
        <v>4</v>
      </c>
      <c r="B34" s="2">
        <v>0</v>
      </c>
      <c r="C34" s="2">
        <v>0</v>
      </c>
      <c r="F34" s="2">
        <v>1</v>
      </c>
    </row>
    <row r="35" spans="1:8" x14ac:dyDescent="0.3">
      <c r="A35" s="2" t="s">
        <v>3</v>
      </c>
      <c r="B35" s="2">
        <v>1</v>
      </c>
      <c r="C35" s="2">
        <v>0</v>
      </c>
      <c r="E35" s="2">
        <v>1</v>
      </c>
    </row>
    <row r="36" spans="1:8" x14ac:dyDescent="0.3">
      <c r="A36" s="2" t="s">
        <v>3</v>
      </c>
      <c r="B36" s="2">
        <v>1</v>
      </c>
      <c r="C36" s="2">
        <v>0</v>
      </c>
      <c r="E36" s="2">
        <v>1</v>
      </c>
    </row>
    <row r="37" spans="1:8" x14ac:dyDescent="0.3">
      <c r="A37" s="2" t="s">
        <v>3</v>
      </c>
      <c r="B37" s="2">
        <v>0</v>
      </c>
      <c r="C37" s="2">
        <v>1</v>
      </c>
      <c r="G37" s="2">
        <v>1</v>
      </c>
    </row>
    <row r="38" spans="1:8" x14ac:dyDescent="0.3">
      <c r="A38" s="2" t="s">
        <v>4</v>
      </c>
      <c r="B38" s="2">
        <v>1</v>
      </c>
      <c r="C38" s="2">
        <v>-3</v>
      </c>
      <c r="H38" s="2">
        <v>1</v>
      </c>
    </row>
    <row r="39" spans="1:8" x14ac:dyDescent="0.3">
      <c r="A39" s="2" t="s">
        <v>4</v>
      </c>
      <c r="B39" s="2">
        <v>0</v>
      </c>
      <c r="C39" s="2">
        <v>0</v>
      </c>
      <c r="F39" s="2">
        <v>1</v>
      </c>
    </row>
    <row r="40" spans="1:8" x14ac:dyDescent="0.3">
      <c r="A40" s="2" t="s">
        <v>3</v>
      </c>
      <c r="B40" s="2">
        <v>0</v>
      </c>
      <c r="C40" s="2">
        <v>2</v>
      </c>
      <c r="G40" s="2">
        <v>1</v>
      </c>
    </row>
    <row r="41" spans="1:8" x14ac:dyDescent="0.3">
      <c r="A41" s="2" t="s">
        <v>4</v>
      </c>
      <c r="B41" s="2">
        <v>0</v>
      </c>
      <c r="C41" s="2">
        <v>0</v>
      </c>
      <c r="F41" s="2">
        <v>1</v>
      </c>
    </row>
    <row r="42" spans="1:8" x14ac:dyDescent="0.3">
      <c r="A42" s="2" t="s">
        <v>3</v>
      </c>
      <c r="B42" s="2">
        <v>0</v>
      </c>
      <c r="C42" s="2">
        <v>1</v>
      </c>
      <c r="G42" s="2">
        <v>1</v>
      </c>
    </row>
    <row r="43" spans="1:8" x14ac:dyDescent="0.3">
      <c r="A43" s="2" t="s">
        <v>4</v>
      </c>
      <c r="B43" s="2">
        <v>0</v>
      </c>
      <c r="C43" s="2">
        <v>0</v>
      </c>
      <c r="F43" s="2">
        <v>1</v>
      </c>
    </row>
    <row r="44" spans="1:8" x14ac:dyDescent="0.3">
      <c r="A44" s="2" t="s">
        <v>3</v>
      </c>
      <c r="B44" s="2">
        <v>0</v>
      </c>
      <c r="C44" s="2">
        <v>4</v>
      </c>
      <c r="G44" s="2">
        <v>1</v>
      </c>
    </row>
    <row r="45" spans="1:8" x14ac:dyDescent="0.3">
      <c r="A45" s="2" t="s">
        <v>3</v>
      </c>
      <c r="B45" s="2">
        <v>1</v>
      </c>
      <c r="C45" s="2">
        <v>0</v>
      </c>
      <c r="E45" s="2">
        <v>1</v>
      </c>
    </row>
    <row r="46" spans="1:8" x14ac:dyDescent="0.3">
      <c r="A46" s="2" t="s">
        <v>4</v>
      </c>
      <c r="B46" s="2">
        <v>1</v>
      </c>
      <c r="C46" s="2">
        <v>-5</v>
      </c>
      <c r="H46" s="2">
        <v>1</v>
      </c>
    </row>
    <row r="47" spans="1:8" x14ac:dyDescent="0.3">
      <c r="A47" s="2" t="s">
        <v>3</v>
      </c>
      <c r="B47" s="2">
        <v>0</v>
      </c>
      <c r="C47" s="2">
        <v>2</v>
      </c>
      <c r="G47" s="2">
        <v>1</v>
      </c>
    </row>
    <row r="48" spans="1:8" x14ac:dyDescent="0.3">
      <c r="A48" s="2" t="s">
        <v>4</v>
      </c>
      <c r="B48" s="2">
        <v>0</v>
      </c>
      <c r="C48" s="2">
        <v>0</v>
      </c>
      <c r="F48" s="2">
        <v>1</v>
      </c>
    </row>
    <row r="49" spans="1:8" x14ac:dyDescent="0.3">
      <c r="A49" s="2" t="s">
        <v>4</v>
      </c>
      <c r="B49" s="2">
        <v>1</v>
      </c>
      <c r="C49" s="2">
        <v>3</v>
      </c>
      <c r="H49" s="2">
        <v>1</v>
      </c>
    </row>
    <row r="50" spans="1:8" x14ac:dyDescent="0.3">
      <c r="A50" s="2" t="s">
        <v>4</v>
      </c>
      <c r="B50" s="2">
        <v>1</v>
      </c>
      <c r="C50" s="2">
        <v>-2</v>
      </c>
      <c r="H50" s="2">
        <v>1</v>
      </c>
    </row>
    <row r="51" spans="1:8" x14ac:dyDescent="0.3">
      <c r="A51" s="2" t="s">
        <v>3</v>
      </c>
      <c r="B51" s="2">
        <v>0</v>
      </c>
      <c r="C51" s="2">
        <v>4</v>
      </c>
      <c r="G51" s="2">
        <v>1</v>
      </c>
    </row>
    <row r="52" spans="1:8" x14ac:dyDescent="0.3">
      <c r="A52" s="2" t="s">
        <v>3</v>
      </c>
      <c r="B52" s="2">
        <v>1</v>
      </c>
      <c r="C52" s="2">
        <v>0</v>
      </c>
      <c r="E52" s="2">
        <v>1</v>
      </c>
    </row>
    <row r="53" spans="1:8" x14ac:dyDescent="0.3">
      <c r="A53" s="2" t="s">
        <v>4</v>
      </c>
      <c r="B53" s="2">
        <v>1</v>
      </c>
      <c r="C53" s="2">
        <v>-2</v>
      </c>
      <c r="H53" s="2">
        <v>1</v>
      </c>
    </row>
    <row r="54" spans="1:8" x14ac:dyDescent="0.3">
      <c r="A54" s="2" t="s">
        <v>3</v>
      </c>
      <c r="B54" s="2">
        <v>0</v>
      </c>
      <c r="C54" s="2">
        <v>1</v>
      </c>
      <c r="G54" s="2">
        <v>1</v>
      </c>
    </row>
    <row r="55" spans="1:8" x14ac:dyDescent="0.3">
      <c r="A55" s="2" t="s">
        <v>4</v>
      </c>
      <c r="B55" s="2">
        <v>0</v>
      </c>
      <c r="C55" s="2">
        <v>0</v>
      </c>
      <c r="F55" s="2">
        <v>1</v>
      </c>
    </row>
    <row r="56" spans="1:8" x14ac:dyDescent="0.3">
      <c r="A56" s="2" t="s">
        <v>3</v>
      </c>
      <c r="B56" s="2">
        <v>1</v>
      </c>
      <c r="C56" s="2">
        <v>0</v>
      </c>
      <c r="E56" s="2">
        <v>1</v>
      </c>
    </row>
    <row r="57" spans="1:8" x14ac:dyDescent="0.3">
      <c r="A57" s="2" t="s">
        <v>4</v>
      </c>
      <c r="B57" s="2">
        <v>1</v>
      </c>
      <c r="C57" s="2">
        <v>-3</v>
      </c>
      <c r="H57" s="2">
        <v>1</v>
      </c>
    </row>
    <row r="58" spans="1:8" x14ac:dyDescent="0.3">
      <c r="A58" s="2" t="s">
        <v>4</v>
      </c>
      <c r="B58" s="2">
        <v>0</v>
      </c>
      <c r="C58" s="2">
        <v>0</v>
      </c>
      <c r="F58" s="2">
        <v>1</v>
      </c>
    </row>
    <row r="59" spans="1:8" x14ac:dyDescent="0.3">
      <c r="A59" s="2" t="s">
        <v>4</v>
      </c>
      <c r="B59" s="2">
        <v>0</v>
      </c>
      <c r="C59" s="2">
        <v>0</v>
      </c>
      <c r="F59" s="2">
        <v>1</v>
      </c>
    </row>
    <row r="60" spans="1:8" x14ac:dyDescent="0.3">
      <c r="A60" s="2" t="s">
        <v>3</v>
      </c>
      <c r="B60" s="2">
        <v>0</v>
      </c>
      <c r="C60" s="2">
        <v>1</v>
      </c>
      <c r="G60" s="2">
        <v>1</v>
      </c>
    </row>
    <row r="61" spans="1:8" x14ac:dyDescent="0.3">
      <c r="A61" s="2" t="s">
        <v>4</v>
      </c>
      <c r="B61" s="2">
        <v>1</v>
      </c>
      <c r="C61" s="2">
        <v>-3</v>
      </c>
      <c r="H61" s="2">
        <v>1</v>
      </c>
    </row>
    <row r="62" spans="1:8" x14ac:dyDescent="0.3">
      <c r="A62" s="2" t="s">
        <v>4</v>
      </c>
      <c r="B62" s="2">
        <v>0</v>
      </c>
      <c r="C62" s="2">
        <v>0</v>
      </c>
      <c r="F62" s="2">
        <v>1</v>
      </c>
    </row>
    <row r="63" spans="1:8" x14ac:dyDescent="0.3">
      <c r="A63" s="2" t="s">
        <v>4</v>
      </c>
      <c r="B63" s="2">
        <v>1</v>
      </c>
      <c r="C63" s="2">
        <v>-4</v>
      </c>
      <c r="H63" s="2">
        <v>1</v>
      </c>
    </row>
    <row r="64" spans="1:8" x14ac:dyDescent="0.3">
      <c r="A64" s="2" t="s">
        <v>3</v>
      </c>
      <c r="B64" s="2">
        <v>1</v>
      </c>
      <c r="C64" s="2">
        <v>0</v>
      </c>
      <c r="E64" s="2">
        <v>1</v>
      </c>
    </row>
    <row r="65" spans="1:8" x14ac:dyDescent="0.3">
      <c r="A65" s="2" t="s">
        <v>3</v>
      </c>
      <c r="B65" s="2">
        <v>0</v>
      </c>
      <c r="C65" s="2">
        <v>2</v>
      </c>
      <c r="G65" s="2">
        <v>1</v>
      </c>
    </row>
    <row r="66" spans="1:8" x14ac:dyDescent="0.3">
      <c r="A66" s="2" t="s">
        <v>4</v>
      </c>
      <c r="B66" s="2">
        <v>0</v>
      </c>
      <c r="C66" s="2">
        <v>0</v>
      </c>
      <c r="F66" s="2">
        <v>1</v>
      </c>
    </row>
    <row r="67" spans="1:8" x14ac:dyDescent="0.3">
      <c r="A67" s="2" t="s">
        <v>3</v>
      </c>
      <c r="B67" s="2">
        <v>1</v>
      </c>
      <c r="C67" s="2">
        <v>0</v>
      </c>
      <c r="E67" s="2">
        <v>1</v>
      </c>
    </row>
    <row r="68" spans="1:8" x14ac:dyDescent="0.3">
      <c r="A68" s="2" t="s">
        <v>4</v>
      </c>
      <c r="B68" s="2">
        <v>1</v>
      </c>
      <c r="C68" s="2">
        <v>-2</v>
      </c>
      <c r="H68" s="2">
        <v>1</v>
      </c>
    </row>
    <row r="69" spans="1:8" x14ac:dyDescent="0.3">
      <c r="A69" s="2" t="s">
        <v>4</v>
      </c>
      <c r="B69" s="2">
        <v>1</v>
      </c>
      <c r="C69" s="2">
        <v>-2</v>
      </c>
      <c r="H69" s="2">
        <v>1</v>
      </c>
    </row>
    <row r="70" spans="1:8" x14ac:dyDescent="0.3">
      <c r="A70" s="2" t="s">
        <v>4</v>
      </c>
      <c r="B70" s="2">
        <v>1</v>
      </c>
      <c r="C70" s="2">
        <v>-4</v>
      </c>
      <c r="H70" s="2">
        <v>1</v>
      </c>
    </row>
    <row r="71" spans="1:8" x14ac:dyDescent="0.3">
      <c r="A71" s="2" t="s">
        <v>3</v>
      </c>
      <c r="B71" s="2">
        <v>1</v>
      </c>
      <c r="C71" s="2">
        <v>0</v>
      </c>
      <c r="E71" s="2">
        <v>1</v>
      </c>
    </row>
    <row r="72" spans="1:8" x14ac:dyDescent="0.3">
      <c r="A72" s="2" t="s">
        <v>3</v>
      </c>
      <c r="B72" s="2">
        <v>1</v>
      </c>
      <c r="C72" s="2">
        <v>0</v>
      </c>
      <c r="E72" s="2">
        <v>1</v>
      </c>
    </row>
    <row r="73" spans="1:8" x14ac:dyDescent="0.3">
      <c r="A73" s="2" t="s">
        <v>4</v>
      </c>
      <c r="B73" s="2">
        <v>0</v>
      </c>
      <c r="C73" s="2">
        <v>0</v>
      </c>
      <c r="F73" s="2">
        <v>1</v>
      </c>
    </row>
    <row r="74" spans="1:8" x14ac:dyDescent="0.3">
      <c r="A74" s="2" t="s">
        <v>4</v>
      </c>
      <c r="B74" s="2">
        <v>1</v>
      </c>
      <c r="C74" s="2">
        <v>-2</v>
      </c>
      <c r="H74" s="2">
        <v>1</v>
      </c>
    </row>
    <row r="75" spans="1:8" x14ac:dyDescent="0.3">
      <c r="A75" s="2" t="s">
        <v>3</v>
      </c>
      <c r="B75" s="2">
        <v>1</v>
      </c>
      <c r="C75" s="2">
        <v>0</v>
      </c>
      <c r="E75" s="2">
        <v>1</v>
      </c>
    </row>
    <row r="76" spans="1:8" x14ac:dyDescent="0.3">
      <c r="A76" s="2" t="s">
        <v>4</v>
      </c>
      <c r="B76" s="2">
        <v>0</v>
      </c>
      <c r="C76" s="2">
        <v>0</v>
      </c>
      <c r="F76" s="2">
        <v>1</v>
      </c>
    </row>
    <row r="77" spans="1:8" x14ac:dyDescent="0.3">
      <c r="A77" s="2" t="s">
        <v>3</v>
      </c>
      <c r="B77" s="2">
        <v>1</v>
      </c>
      <c r="C77" s="2">
        <v>0</v>
      </c>
      <c r="E77" s="2">
        <v>1</v>
      </c>
    </row>
    <row r="78" spans="1:8" x14ac:dyDescent="0.3">
      <c r="A78" s="2" t="s">
        <v>3</v>
      </c>
      <c r="B78" s="2">
        <v>1</v>
      </c>
      <c r="C78" s="2">
        <v>0</v>
      </c>
      <c r="E78" s="2">
        <v>1</v>
      </c>
    </row>
    <row r="79" spans="1:8" x14ac:dyDescent="0.3">
      <c r="A79" s="2" t="s">
        <v>3</v>
      </c>
      <c r="B79" s="2">
        <v>1</v>
      </c>
      <c r="C79" s="2">
        <v>0</v>
      </c>
      <c r="E79" s="2">
        <v>1</v>
      </c>
    </row>
    <row r="80" spans="1:8" x14ac:dyDescent="0.3">
      <c r="A80" s="2" t="s">
        <v>4</v>
      </c>
      <c r="B80" s="2">
        <v>1</v>
      </c>
      <c r="C80" s="2">
        <v>-4</v>
      </c>
      <c r="H80" s="2">
        <v>1</v>
      </c>
    </row>
    <row r="81" spans="1:8" x14ac:dyDescent="0.3">
      <c r="A81" s="2" t="s">
        <v>4</v>
      </c>
      <c r="B81" s="2">
        <v>1</v>
      </c>
      <c r="C81" s="2">
        <v>-3</v>
      </c>
      <c r="H81" s="2">
        <v>1</v>
      </c>
    </row>
    <row r="82" spans="1:8" x14ac:dyDescent="0.3">
      <c r="A82" s="2" t="s">
        <v>4</v>
      </c>
      <c r="B82" s="2">
        <v>1</v>
      </c>
      <c r="C82" s="2">
        <v>4</v>
      </c>
      <c r="H82" s="2">
        <v>1</v>
      </c>
    </row>
    <row r="83" spans="1:8" x14ac:dyDescent="0.3">
      <c r="A83" s="2" t="s">
        <v>3</v>
      </c>
      <c r="B83" s="2">
        <v>1</v>
      </c>
      <c r="C83" s="2">
        <v>0</v>
      </c>
      <c r="E83" s="2">
        <v>1</v>
      </c>
    </row>
    <row r="84" spans="1:8" x14ac:dyDescent="0.3">
      <c r="A84" s="2" t="s">
        <v>4</v>
      </c>
      <c r="B84" s="2">
        <v>1</v>
      </c>
      <c r="C84" s="2">
        <v>4</v>
      </c>
      <c r="H84" s="2">
        <v>1</v>
      </c>
    </row>
    <row r="85" spans="1:8" x14ac:dyDescent="0.3">
      <c r="A85" s="2" t="s">
        <v>3</v>
      </c>
      <c r="B85" s="2">
        <v>1</v>
      </c>
      <c r="C85" s="2">
        <v>0</v>
      </c>
      <c r="E85" s="2">
        <v>1</v>
      </c>
    </row>
    <row r="86" spans="1:8" x14ac:dyDescent="0.3">
      <c r="A86" s="2" t="s">
        <v>3</v>
      </c>
      <c r="B86" s="2">
        <v>0</v>
      </c>
      <c r="C86" s="2">
        <v>1</v>
      </c>
      <c r="G86" s="2">
        <v>1</v>
      </c>
    </row>
    <row r="87" spans="1:8" x14ac:dyDescent="0.3">
      <c r="A87" s="2" t="s">
        <v>3</v>
      </c>
      <c r="B87" s="2">
        <v>1</v>
      </c>
      <c r="C87" s="2">
        <v>0</v>
      </c>
      <c r="E87" s="2">
        <v>1</v>
      </c>
    </row>
    <row r="88" spans="1:8" x14ac:dyDescent="0.3">
      <c r="A88" s="2" t="s">
        <v>3</v>
      </c>
      <c r="B88" s="2">
        <v>1</v>
      </c>
      <c r="C88" s="2">
        <v>0</v>
      </c>
      <c r="E88" s="2">
        <v>1</v>
      </c>
    </row>
    <row r="89" spans="1:8" x14ac:dyDescent="0.3">
      <c r="A89" s="2" t="s">
        <v>3</v>
      </c>
      <c r="B89" s="2">
        <v>1</v>
      </c>
      <c r="C89" s="2">
        <v>0</v>
      </c>
      <c r="E89" s="2">
        <v>1</v>
      </c>
    </row>
    <row r="90" spans="1:8" x14ac:dyDescent="0.3">
      <c r="A90" s="2" t="s">
        <v>3</v>
      </c>
      <c r="B90" s="2">
        <v>1</v>
      </c>
      <c r="C90" s="2">
        <v>0</v>
      </c>
      <c r="E90" s="2">
        <v>1</v>
      </c>
    </row>
    <row r="91" spans="1:8" x14ac:dyDescent="0.3">
      <c r="A91" s="2" t="s">
        <v>3</v>
      </c>
      <c r="B91" s="2">
        <v>1</v>
      </c>
      <c r="C91" s="2">
        <v>0</v>
      </c>
      <c r="E91" s="2">
        <v>1</v>
      </c>
    </row>
    <row r="92" spans="1:8" x14ac:dyDescent="0.3">
      <c r="A92" s="2" t="s">
        <v>4</v>
      </c>
      <c r="B92" s="2">
        <v>0</v>
      </c>
      <c r="C92" s="2">
        <v>0</v>
      </c>
      <c r="F92" s="2">
        <v>1</v>
      </c>
    </row>
    <row r="93" spans="1:8" x14ac:dyDescent="0.3">
      <c r="A93" s="2" t="s">
        <v>4</v>
      </c>
      <c r="B93" s="2">
        <v>0</v>
      </c>
      <c r="C93" s="2">
        <v>0</v>
      </c>
      <c r="F93" s="2">
        <v>1</v>
      </c>
    </row>
    <row r="94" spans="1:8" x14ac:dyDescent="0.3">
      <c r="A94" s="2" t="s">
        <v>3</v>
      </c>
      <c r="B94" s="2">
        <v>1</v>
      </c>
      <c r="C94" s="2">
        <v>0</v>
      </c>
      <c r="E94" s="2">
        <v>1</v>
      </c>
    </row>
    <row r="95" spans="1:8" x14ac:dyDescent="0.3">
      <c r="A95" s="2" t="s">
        <v>4</v>
      </c>
      <c r="B95" s="2">
        <v>1</v>
      </c>
      <c r="C95" s="2">
        <v>4</v>
      </c>
      <c r="H95" s="2">
        <v>1</v>
      </c>
    </row>
    <row r="96" spans="1:8" x14ac:dyDescent="0.3">
      <c r="A96" s="2" t="s">
        <v>3</v>
      </c>
      <c r="B96" s="2">
        <v>1</v>
      </c>
      <c r="C96" s="2">
        <v>0</v>
      </c>
      <c r="E96" s="2">
        <v>1</v>
      </c>
    </row>
    <row r="97" spans="1:8" x14ac:dyDescent="0.3">
      <c r="A97" s="2" t="s">
        <v>4</v>
      </c>
      <c r="B97" s="2">
        <v>0</v>
      </c>
      <c r="C97" s="2">
        <v>0</v>
      </c>
      <c r="F97" s="2">
        <v>1</v>
      </c>
    </row>
    <row r="98" spans="1:8" x14ac:dyDescent="0.3">
      <c r="A98" s="2" t="s">
        <v>4</v>
      </c>
      <c r="B98" s="2">
        <v>0</v>
      </c>
      <c r="C98" s="2">
        <v>0</v>
      </c>
      <c r="F98" s="2">
        <v>1</v>
      </c>
    </row>
    <row r="99" spans="1:8" x14ac:dyDescent="0.3">
      <c r="A99" s="2" t="s">
        <v>4</v>
      </c>
      <c r="B99" s="2">
        <v>0</v>
      </c>
      <c r="C99" s="2">
        <v>0</v>
      </c>
      <c r="F99" s="2">
        <v>1</v>
      </c>
    </row>
    <row r="100" spans="1:8" x14ac:dyDescent="0.3">
      <c r="A100" s="2" t="s">
        <v>3</v>
      </c>
      <c r="B100" s="2">
        <v>1</v>
      </c>
      <c r="C100" s="2">
        <v>0</v>
      </c>
      <c r="E100" s="2">
        <v>1</v>
      </c>
    </row>
    <row r="101" spans="1:8" x14ac:dyDescent="0.3">
      <c r="A101" s="2" t="s">
        <v>3</v>
      </c>
      <c r="B101" s="2">
        <v>1</v>
      </c>
      <c r="C101" s="2">
        <v>0</v>
      </c>
      <c r="E101" s="2">
        <v>1</v>
      </c>
    </row>
    <row r="102" spans="1:8" x14ac:dyDescent="0.3">
      <c r="D102" s="4" t="s">
        <v>21</v>
      </c>
      <c r="E102" s="4">
        <f>SUM(E2:E101)</f>
        <v>34</v>
      </c>
      <c r="F102" s="4">
        <f t="shared" ref="F102:H102" si="0">SUM(F2:F101)</f>
        <v>21</v>
      </c>
      <c r="G102" s="4">
        <f t="shared" si="0"/>
        <v>16</v>
      </c>
      <c r="H102" s="4">
        <f t="shared" si="0"/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BA0E-607D-4837-B4DC-27D35B9E8458}">
  <dimension ref="A1:H16"/>
  <sheetViews>
    <sheetView tabSelected="1" workbookViewId="0">
      <selection activeCell="H13" sqref="H13"/>
    </sheetView>
  </sheetViews>
  <sheetFormatPr defaultRowHeight="18" x14ac:dyDescent="0.35"/>
  <cols>
    <col min="1" max="1" width="18" style="3" customWidth="1"/>
    <col min="2" max="2" width="17.6640625" style="3" customWidth="1"/>
    <col min="3" max="3" width="19.88671875" style="3" customWidth="1"/>
    <col min="4" max="4" width="9" style="3" customWidth="1"/>
    <col min="5" max="5" width="40.21875" style="3" customWidth="1"/>
    <col min="6" max="6" width="22.5546875" style="3" customWidth="1"/>
    <col min="7" max="7" width="8.88671875" style="3"/>
    <col min="8" max="8" width="23" style="3" customWidth="1"/>
    <col min="9" max="16384" width="8.88671875" style="3"/>
  </cols>
  <sheetData>
    <row r="1" spans="1:8" x14ac:dyDescent="0.35">
      <c r="A1" s="6" t="s">
        <v>20</v>
      </c>
    </row>
    <row r="5" spans="1:8" x14ac:dyDescent="0.35">
      <c r="B5" s="3" t="s">
        <v>11</v>
      </c>
      <c r="C5" s="3" t="s">
        <v>12</v>
      </c>
      <c r="D5" s="3" t="s">
        <v>17</v>
      </c>
      <c r="E5" s="3" t="s">
        <v>18</v>
      </c>
      <c r="F5" s="7">
        <f>B15/(B15+C15)</f>
        <v>0.61818181818181817</v>
      </c>
    </row>
    <row r="6" spans="1:8" x14ac:dyDescent="0.35">
      <c r="A6" s="3" t="s">
        <v>9</v>
      </c>
      <c r="B6" s="3" t="s">
        <v>15</v>
      </c>
      <c r="C6" s="3" t="s">
        <v>13</v>
      </c>
      <c r="E6" s="3" t="s">
        <v>19</v>
      </c>
      <c r="F6" s="7">
        <f>B16/(B16+C16)</f>
        <v>0.35555555555555557</v>
      </c>
    </row>
    <row r="7" spans="1:8" x14ac:dyDescent="0.35">
      <c r="A7" s="3" t="s">
        <v>10</v>
      </c>
      <c r="B7" s="3" t="s">
        <v>16</v>
      </c>
      <c r="C7" s="3" t="s">
        <v>14</v>
      </c>
    </row>
    <row r="12" spans="1:8" x14ac:dyDescent="0.35">
      <c r="E12" s="3" t="s">
        <v>22</v>
      </c>
      <c r="F12" s="7">
        <f>NORMSINV(F5) - NORMSINV(F6)</f>
        <v>0.67107329938167959</v>
      </c>
    </row>
    <row r="13" spans="1:8" x14ac:dyDescent="0.35">
      <c r="E13" s="3" t="s">
        <v>23</v>
      </c>
      <c r="F13" s="7">
        <f>-((NORMSINV(F5) + NORMSINV(F6)) /2)</f>
        <v>3.4827595115919818E-2</v>
      </c>
      <c r="H13" s="3" t="s">
        <v>24</v>
      </c>
    </row>
    <row r="14" spans="1:8" x14ac:dyDescent="0.35">
      <c r="B14" s="3" t="s">
        <v>11</v>
      </c>
      <c r="C14" s="3" t="s">
        <v>12</v>
      </c>
      <c r="H14" s="3" t="s">
        <v>25</v>
      </c>
    </row>
    <row r="15" spans="1:8" x14ac:dyDescent="0.35">
      <c r="A15" s="3" t="s">
        <v>9</v>
      </c>
      <c r="B15" s="5">
        <v>34</v>
      </c>
      <c r="C15" s="5">
        <v>21</v>
      </c>
    </row>
    <row r="16" spans="1:8" x14ac:dyDescent="0.35">
      <c r="A16" s="3" t="s">
        <v>10</v>
      </c>
      <c r="B16" s="5">
        <v>16</v>
      </c>
      <c r="C16" s="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2025-09-11T12:24:51Z</dcterms:modified>
</cp:coreProperties>
</file>