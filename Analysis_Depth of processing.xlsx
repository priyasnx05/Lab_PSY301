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Final lab solo project_ Depth of Processing/"/>
    </mc:Choice>
  </mc:AlternateContent>
  <xr:revisionPtr revIDLastSave="46" documentId="11_F25DC773A252ABDACC104841519E6E6E5BDE58E1" xr6:coauthVersionLast="47" xr6:coauthVersionMax="47" xr10:uidLastSave="{B4DCAE44-B8F7-42E3-B47D-B17D5D775E01}"/>
  <bookViews>
    <workbookView xWindow="-108" yWindow="-108" windowWidth="23256" windowHeight="12456" activeTab="5" xr2:uid="{00000000-000D-0000-FFFF-FFFF00000000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Fin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6" l="1"/>
  <c r="B12" i="6"/>
  <c r="B11" i="6"/>
  <c r="B10" i="6"/>
  <c r="J10" i="5"/>
  <c r="J9" i="5"/>
  <c r="J10" i="4"/>
  <c r="J9" i="4"/>
  <c r="J10" i="3"/>
  <c r="J9" i="3"/>
  <c r="J10" i="2"/>
  <c r="J9" i="2"/>
  <c r="J10" i="1"/>
  <c r="J9" i="1"/>
</calcChain>
</file>

<file path=xl/sharedStrings.xml><?xml version="1.0" encoding="utf-8"?>
<sst xmlns="http://schemas.openxmlformats.org/spreadsheetml/2006/main" count="1172" uniqueCount="65">
  <si>
    <t>test_word</t>
  </si>
  <si>
    <t>old_new</t>
  </si>
  <si>
    <t>processing_type</t>
  </si>
  <si>
    <t>Corr_Ans</t>
  </si>
  <si>
    <t>key_resp_recog.keys</t>
  </si>
  <si>
    <t>key_resp_recog.corr</t>
  </si>
  <si>
    <t>phone</t>
  </si>
  <si>
    <t>shallow</t>
  </si>
  <si>
    <t>y</t>
  </si>
  <si>
    <t>n</t>
  </si>
  <si>
    <t>shoe</t>
  </si>
  <si>
    <t>tiger</t>
  </si>
  <si>
    <t>deep</t>
  </si>
  <si>
    <t>mountain</t>
  </si>
  <si>
    <t>apple</t>
  </si>
  <si>
    <t>flower</t>
  </si>
  <si>
    <t>pencil</t>
  </si>
  <si>
    <t>music</t>
  </si>
  <si>
    <t>garden</t>
  </si>
  <si>
    <t>river</t>
  </si>
  <si>
    <t>leaf</t>
  </si>
  <si>
    <t>train</t>
  </si>
  <si>
    <t>mirror</t>
  </si>
  <si>
    <t>paper</t>
  </si>
  <si>
    <t>basket</t>
  </si>
  <si>
    <t>carpet</t>
  </si>
  <si>
    <t>dog</t>
  </si>
  <si>
    <t>cloud</t>
  </si>
  <si>
    <t>forest</t>
  </si>
  <si>
    <t>book</t>
  </si>
  <si>
    <t>moon</t>
  </si>
  <si>
    <t>window</t>
  </si>
  <si>
    <t>candle</t>
  </si>
  <si>
    <t>table</t>
  </si>
  <si>
    <t>cup</t>
  </si>
  <si>
    <t xml:space="preserve">old </t>
  </si>
  <si>
    <t>shiver</t>
  </si>
  <si>
    <t>new</t>
  </si>
  <si>
    <t>chair</t>
  </si>
  <si>
    <t>dessert</t>
  </si>
  <si>
    <t>radio</t>
  </si>
  <si>
    <t>stone</t>
  </si>
  <si>
    <t>fire</t>
  </si>
  <si>
    <t>ladder</t>
  </si>
  <si>
    <t>feather</t>
  </si>
  <si>
    <t>ocean</t>
  </si>
  <si>
    <t>shroud</t>
  </si>
  <si>
    <t>casket</t>
  </si>
  <si>
    <t>thunder</t>
  </si>
  <si>
    <t>screen</t>
  </si>
  <si>
    <t>lamp</t>
  </si>
  <si>
    <t>mason</t>
  </si>
  <si>
    <t>bridge</t>
  </si>
  <si>
    <t>bag</t>
  </si>
  <si>
    <t>rancid</t>
  </si>
  <si>
    <t>storm</t>
  </si>
  <si>
    <t>shallow acc</t>
  </si>
  <si>
    <t>deep acc</t>
  </si>
  <si>
    <t>Participant</t>
  </si>
  <si>
    <t>shallow accuracy</t>
  </si>
  <si>
    <t>deep accuracy</t>
  </si>
  <si>
    <t>mean deep_Acc</t>
  </si>
  <si>
    <t>mean shallow_Acc</t>
  </si>
  <si>
    <t>sd shallow_Acc</t>
  </si>
  <si>
    <t>sd deep_Acc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</si>
</sst>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3" borderId="1" applyNumberFormat="0" applyAlignment="0" applyProtection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3" borderId="1" xfId="1"/>
    <xf numFmtId="164" fontId="1" fillId="3" borderId="1" xfId="1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>
      <selection activeCell="J9" sqref="J9:J10"/>
    </sheetView>
  </sheetViews>
  <sheetFormatPr defaultRowHeight="14.4" x14ac:dyDescent="0.3"/>
  <cols>
    <col min="1" max="1" width="18.109375" customWidth="1"/>
    <col min="2" max="2" width="18.33203125" customWidth="1"/>
    <col min="3" max="3" width="17.5546875" customWidth="1"/>
    <col min="4" max="4" width="17.21875" customWidth="1"/>
    <col min="5" max="5" width="18.33203125" customWidth="1"/>
    <col min="6" max="6" width="18.21875" customWidth="1"/>
    <col min="9" max="9" width="12.109375" customWidth="1"/>
    <col min="10" max="10" width="10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38</v>
      </c>
      <c r="B2" t="s">
        <v>35</v>
      </c>
      <c r="C2" t="s">
        <v>7</v>
      </c>
      <c r="D2" t="s">
        <v>8</v>
      </c>
      <c r="E2" t="s">
        <v>8</v>
      </c>
      <c r="F2">
        <v>1</v>
      </c>
    </row>
    <row r="3" spans="1:10" x14ac:dyDescent="0.3">
      <c r="A3" s="1" t="s">
        <v>6</v>
      </c>
      <c r="B3" s="1" t="s">
        <v>35</v>
      </c>
      <c r="C3" s="1" t="s">
        <v>7</v>
      </c>
      <c r="D3" s="1" t="s">
        <v>8</v>
      </c>
      <c r="E3" s="1" t="s">
        <v>9</v>
      </c>
      <c r="F3" s="1">
        <v>0</v>
      </c>
    </row>
    <row r="4" spans="1:10" x14ac:dyDescent="0.3">
      <c r="A4" s="1" t="s">
        <v>10</v>
      </c>
      <c r="B4" s="1" t="s">
        <v>35</v>
      </c>
      <c r="C4" s="1" t="s">
        <v>7</v>
      </c>
      <c r="D4" s="1" t="s">
        <v>8</v>
      </c>
      <c r="E4" s="1" t="s">
        <v>9</v>
      </c>
      <c r="F4" s="1">
        <v>0</v>
      </c>
    </row>
    <row r="5" spans="1:10" x14ac:dyDescent="0.3">
      <c r="A5" s="1" t="s">
        <v>41</v>
      </c>
      <c r="B5" s="1" t="s">
        <v>35</v>
      </c>
      <c r="C5" s="1" t="s">
        <v>7</v>
      </c>
      <c r="D5" s="1" t="s">
        <v>8</v>
      </c>
      <c r="E5" s="1" t="s">
        <v>9</v>
      </c>
      <c r="F5" s="1">
        <v>0</v>
      </c>
    </row>
    <row r="6" spans="1:10" x14ac:dyDescent="0.3">
      <c r="A6" t="s">
        <v>21</v>
      </c>
      <c r="B6" t="s">
        <v>35</v>
      </c>
      <c r="C6" t="s">
        <v>7</v>
      </c>
      <c r="D6" t="s">
        <v>8</v>
      </c>
      <c r="E6" t="s">
        <v>8</v>
      </c>
      <c r="F6">
        <v>1</v>
      </c>
    </row>
    <row r="7" spans="1:10" x14ac:dyDescent="0.3">
      <c r="A7" s="1" t="s">
        <v>34</v>
      </c>
      <c r="B7" s="1" t="s">
        <v>35</v>
      </c>
      <c r="C7" s="1" t="s">
        <v>7</v>
      </c>
      <c r="D7" s="1" t="s">
        <v>8</v>
      </c>
      <c r="E7" s="1" t="s">
        <v>9</v>
      </c>
      <c r="F7" s="1">
        <v>0</v>
      </c>
    </row>
    <row r="8" spans="1:10" x14ac:dyDescent="0.3">
      <c r="A8" s="1" t="s">
        <v>30</v>
      </c>
      <c r="B8" s="1" t="s">
        <v>35</v>
      </c>
      <c r="C8" s="1" t="s">
        <v>7</v>
      </c>
      <c r="D8" s="1" t="s">
        <v>8</v>
      </c>
      <c r="E8" s="1" t="s">
        <v>9</v>
      </c>
      <c r="F8" s="1">
        <v>0</v>
      </c>
    </row>
    <row r="9" spans="1:10" x14ac:dyDescent="0.3">
      <c r="A9" s="1" t="s">
        <v>33</v>
      </c>
      <c r="B9" s="1" t="s">
        <v>35</v>
      </c>
      <c r="C9" s="1" t="s">
        <v>7</v>
      </c>
      <c r="D9" s="1" t="s">
        <v>8</v>
      </c>
      <c r="E9" s="1" t="s">
        <v>9</v>
      </c>
      <c r="F9" s="1">
        <v>0</v>
      </c>
      <c r="I9" t="s">
        <v>56</v>
      </c>
      <c r="J9" s="2">
        <f>AVERAGEIF(C:C, "shallow", F:F)</f>
        <v>0.33333333333333331</v>
      </c>
    </row>
    <row r="10" spans="1:10" x14ac:dyDescent="0.3">
      <c r="A10" s="1" t="s">
        <v>50</v>
      </c>
      <c r="B10" s="1" t="s">
        <v>35</v>
      </c>
      <c r="C10" s="1" t="s">
        <v>7</v>
      </c>
      <c r="D10" s="1" t="s">
        <v>8</v>
      </c>
      <c r="E10" s="1" t="s">
        <v>9</v>
      </c>
      <c r="F10" s="1">
        <v>0</v>
      </c>
      <c r="I10" t="s">
        <v>57</v>
      </c>
      <c r="J10" s="2">
        <f>AVERAGEIF(C:C, "deep", F:F)</f>
        <v>0.93333333333333335</v>
      </c>
    </row>
    <row r="11" spans="1:10" x14ac:dyDescent="0.3">
      <c r="A11" t="s">
        <v>29</v>
      </c>
      <c r="B11" t="s">
        <v>35</v>
      </c>
      <c r="C11" t="s">
        <v>7</v>
      </c>
      <c r="D11" t="s">
        <v>8</v>
      </c>
      <c r="E11" t="s">
        <v>8</v>
      </c>
      <c r="F11">
        <v>1</v>
      </c>
    </row>
    <row r="12" spans="1:10" x14ac:dyDescent="0.3">
      <c r="A12" s="1" t="s">
        <v>26</v>
      </c>
      <c r="B12" s="1" t="s">
        <v>35</v>
      </c>
      <c r="C12" s="1" t="s">
        <v>7</v>
      </c>
      <c r="D12" s="1" t="s">
        <v>8</v>
      </c>
      <c r="E12" s="1" t="s">
        <v>9</v>
      </c>
      <c r="F12" s="1">
        <v>0</v>
      </c>
    </row>
    <row r="13" spans="1:10" x14ac:dyDescent="0.3">
      <c r="A13" s="1" t="s">
        <v>52</v>
      </c>
      <c r="B13" s="1" t="s">
        <v>35</v>
      </c>
      <c r="C13" s="1" t="s">
        <v>7</v>
      </c>
      <c r="D13" s="1" t="s">
        <v>8</v>
      </c>
      <c r="E13" s="1" t="s">
        <v>9</v>
      </c>
      <c r="F13" s="1">
        <v>0</v>
      </c>
    </row>
    <row r="14" spans="1:10" x14ac:dyDescent="0.3">
      <c r="A14" t="s">
        <v>20</v>
      </c>
      <c r="B14" t="s">
        <v>35</v>
      </c>
      <c r="C14" t="s">
        <v>7</v>
      </c>
      <c r="D14" t="s">
        <v>8</v>
      </c>
      <c r="E14" t="s">
        <v>8</v>
      </c>
      <c r="F14">
        <v>1</v>
      </c>
    </row>
    <row r="15" spans="1:10" x14ac:dyDescent="0.3">
      <c r="A15" s="1" t="s">
        <v>53</v>
      </c>
      <c r="B15" s="1" t="s">
        <v>35</v>
      </c>
      <c r="C15" s="1" t="s">
        <v>7</v>
      </c>
      <c r="D15" s="1" t="s">
        <v>8</v>
      </c>
      <c r="E15" s="1" t="s">
        <v>9</v>
      </c>
      <c r="F15" s="1">
        <v>0</v>
      </c>
    </row>
    <row r="16" spans="1:10" x14ac:dyDescent="0.3">
      <c r="A16" t="s">
        <v>27</v>
      </c>
      <c r="B16" t="s">
        <v>35</v>
      </c>
      <c r="C16" t="s">
        <v>7</v>
      </c>
      <c r="D16" t="s">
        <v>8</v>
      </c>
      <c r="E16" t="s">
        <v>8</v>
      </c>
      <c r="F16">
        <v>1</v>
      </c>
    </row>
    <row r="17" spans="1:6" x14ac:dyDescent="0.3">
      <c r="A17" t="s">
        <v>11</v>
      </c>
      <c r="B17" t="s">
        <v>35</v>
      </c>
      <c r="C17" t="s">
        <v>12</v>
      </c>
      <c r="D17" t="s">
        <v>8</v>
      </c>
      <c r="E17" t="s">
        <v>8</v>
      </c>
      <c r="F17">
        <v>1</v>
      </c>
    </row>
    <row r="18" spans="1:6" x14ac:dyDescent="0.3">
      <c r="A18" t="s">
        <v>19</v>
      </c>
      <c r="B18" t="s">
        <v>35</v>
      </c>
      <c r="C18" t="s">
        <v>12</v>
      </c>
      <c r="D18" t="s">
        <v>8</v>
      </c>
      <c r="E18" t="s">
        <v>8</v>
      </c>
      <c r="F18">
        <v>1</v>
      </c>
    </row>
    <row r="19" spans="1:6" x14ac:dyDescent="0.3">
      <c r="A19" s="1" t="s">
        <v>28</v>
      </c>
      <c r="B19" s="1" t="s">
        <v>35</v>
      </c>
      <c r="C19" s="1" t="s">
        <v>12</v>
      </c>
      <c r="D19" s="1" t="s">
        <v>8</v>
      </c>
      <c r="E19" s="1" t="s">
        <v>9</v>
      </c>
      <c r="F19" s="1">
        <v>0</v>
      </c>
    </row>
    <row r="20" spans="1:6" x14ac:dyDescent="0.3">
      <c r="A20" t="s">
        <v>25</v>
      </c>
      <c r="B20" t="s">
        <v>35</v>
      </c>
      <c r="C20" t="s">
        <v>12</v>
      </c>
      <c r="D20" t="s">
        <v>8</v>
      </c>
      <c r="E20" t="s">
        <v>8</v>
      </c>
      <c r="F20">
        <v>1</v>
      </c>
    </row>
    <row r="21" spans="1:6" x14ac:dyDescent="0.3">
      <c r="A21" t="s">
        <v>17</v>
      </c>
      <c r="B21" t="s">
        <v>35</v>
      </c>
      <c r="C21" t="s">
        <v>12</v>
      </c>
      <c r="D21" t="s">
        <v>8</v>
      </c>
      <c r="E21" t="s">
        <v>8</v>
      </c>
      <c r="F21">
        <v>1</v>
      </c>
    </row>
    <row r="22" spans="1:6" x14ac:dyDescent="0.3">
      <c r="A22" t="s">
        <v>24</v>
      </c>
      <c r="B22" t="s">
        <v>35</v>
      </c>
      <c r="C22" t="s">
        <v>12</v>
      </c>
      <c r="D22" t="s">
        <v>8</v>
      </c>
      <c r="E22" t="s">
        <v>8</v>
      </c>
      <c r="F22">
        <v>1</v>
      </c>
    </row>
    <row r="23" spans="1:6" x14ac:dyDescent="0.3">
      <c r="A23" t="s">
        <v>14</v>
      </c>
      <c r="B23" t="s">
        <v>35</v>
      </c>
      <c r="C23" t="s">
        <v>12</v>
      </c>
      <c r="D23" t="s">
        <v>8</v>
      </c>
      <c r="E23" t="s">
        <v>8</v>
      </c>
      <c r="F23">
        <v>1</v>
      </c>
    </row>
    <row r="24" spans="1:6" x14ac:dyDescent="0.3">
      <c r="A24" t="s">
        <v>32</v>
      </c>
      <c r="B24" t="s">
        <v>35</v>
      </c>
      <c r="C24" t="s">
        <v>12</v>
      </c>
      <c r="D24" t="s">
        <v>8</v>
      </c>
      <c r="E24" t="s">
        <v>8</v>
      </c>
      <c r="F24">
        <v>1</v>
      </c>
    </row>
    <row r="25" spans="1:6" x14ac:dyDescent="0.3">
      <c r="A25" t="s">
        <v>13</v>
      </c>
      <c r="B25" t="s">
        <v>35</v>
      </c>
      <c r="C25" t="s">
        <v>12</v>
      </c>
      <c r="D25" t="s">
        <v>8</v>
      </c>
      <c r="E25" t="s">
        <v>8</v>
      </c>
      <c r="F25">
        <v>1</v>
      </c>
    </row>
    <row r="26" spans="1:6" x14ac:dyDescent="0.3">
      <c r="A26" t="s">
        <v>31</v>
      </c>
      <c r="B26" t="s">
        <v>35</v>
      </c>
      <c r="C26" t="s">
        <v>12</v>
      </c>
      <c r="D26" t="s">
        <v>8</v>
      </c>
      <c r="E26" t="s">
        <v>8</v>
      </c>
      <c r="F26">
        <v>1</v>
      </c>
    </row>
    <row r="27" spans="1:6" x14ac:dyDescent="0.3">
      <c r="A27" t="s">
        <v>15</v>
      </c>
      <c r="B27" t="s">
        <v>35</v>
      </c>
      <c r="C27" t="s">
        <v>12</v>
      </c>
      <c r="D27" t="s">
        <v>8</v>
      </c>
      <c r="E27" t="s">
        <v>8</v>
      </c>
      <c r="F27">
        <v>1</v>
      </c>
    </row>
    <row r="28" spans="1:6" x14ac:dyDescent="0.3">
      <c r="A28" t="s">
        <v>16</v>
      </c>
      <c r="B28" t="s">
        <v>35</v>
      </c>
      <c r="C28" t="s">
        <v>12</v>
      </c>
      <c r="D28" t="s">
        <v>8</v>
      </c>
      <c r="E28" t="s">
        <v>8</v>
      </c>
      <c r="F28">
        <v>1</v>
      </c>
    </row>
    <row r="29" spans="1:6" x14ac:dyDescent="0.3">
      <c r="A29" t="s">
        <v>18</v>
      </c>
      <c r="B29" t="s">
        <v>35</v>
      </c>
      <c r="C29" t="s">
        <v>12</v>
      </c>
      <c r="D29" t="s">
        <v>8</v>
      </c>
      <c r="E29" t="s">
        <v>8</v>
      </c>
      <c r="F29">
        <v>1</v>
      </c>
    </row>
    <row r="30" spans="1:6" x14ac:dyDescent="0.3">
      <c r="A30" t="s">
        <v>22</v>
      </c>
      <c r="B30" t="s">
        <v>35</v>
      </c>
      <c r="C30" t="s">
        <v>12</v>
      </c>
      <c r="D30" t="s">
        <v>8</v>
      </c>
      <c r="E30" t="s">
        <v>8</v>
      </c>
      <c r="F30">
        <v>1</v>
      </c>
    </row>
    <row r="31" spans="1:6" x14ac:dyDescent="0.3">
      <c r="A31" t="s">
        <v>23</v>
      </c>
      <c r="B31" t="s">
        <v>35</v>
      </c>
      <c r="C31" t="s">
        <v>12</v>
      </c>
      <c r="D31" t="s">
        <v>8</v>
      </c>
      <c r="E31" t="s">
        <v>8</v>
      </c>
      <c r="F31">
        <v>1</v>
      </c>
    </row>
    <row r="32" spans="1:6" x14ac:dyDescent="0.3">
      <c r="A32" t="s">
        <v>36</v>
      </c>
      <c r="B32" t="s">
        <v>37</v>
      </c>
      <c r="C32" t="s">
        <v>37</v>
      </c>
      <c r="D32" t="s">
        <v>9</v>
      </c>
      <c r="E32" t="s">
        <v>9</v>
      </c>
      <c r="F32">
        <v>1</v>
      </c>
    </row>
    <row r="33" spans="1:6" x14ac:dyDescent="0.3">
      <c r="A33" t="s">
        <v>39</v>
      </c>
      <c r="B33" t="s">
        <v>37</v>
      </c>
      <c r="C33" t="s">
        <v>37</v>
      </c>
      <c r="D33" t="s">
        <v>9</v>
      </c>
      <c r="E33" t="s">
        <v>9</v>
      </c>
      <c r="F33">
        <v>1</v>
      </c>
    </row>
    <row r="34" spans="1:6" x14ac:dyDescent="0.3">
      <c r="A34" t="s">
        <v>40</v>
      </c>
      <c r="B34" t="s">
        <v>37</v>
      </c>
      <c r="C34" t="s">
        <v>37</v>
      </c>
      <c r="D34" t="s">
        <v>9</v>
      </c>
      <c r="E34" t="s">
        <v>9</v>
      </c>
      <c r="F34">
        <v>1</v>
      </c>
    </row>
    <row r="35" spans="1:6" x14ac:dyDescent="0.3">
      <c r="A35" t="s">
        <v>42</v>
      </c>
      <c r="B35" t="s">
        <v>37</v>
      </c>
      <c r="C35" t="s">
        <v>37</v>
      </c>
      <c r="D35" t="s">
        <v>9</v>
      </c>
      <c r="E35" t="s">
        <v>9</v>
      </c>
      <c r="F35">
        <v>1</v>
      </c>
    </row>
    <row r="36" spans="1:6" x14ac:dyDescent="0.3">
      <c r="A36" t="s">
        <v>43</v>
      </c>
      <c r="B36" t="s">
        <v>37</v>
      </c>
      <c r="C36" t="s">
        <v>37</v>
      </c>
      <c r="D36" t="s">
        <v>9</v>
      </c>
      <c r="E36" t="s">
        <v>9</v>
      </c>
      <c r="F36">
        <v>1</v>
      </c>
    </row>
    <row r="37" spans="1:6" x14ac:dyDescent="0.3">
      <c r="A37" t="s">
        <v>44</v>
      </c>
      <c r="B37" t="s">
        <v>37</v>
      </c>
      <c r="C37" t="s">
        <v>37</v>
      </c>
      <c r="D37" t="s">
        <v>9</v>
      </c>
      <c r="E37" t="s">
        <v>9</v>
      </c>
      <c r="F37">
        <v>1</v>
      </c>
    </row>
    <row r="38" spans="1:6" x14ac:dyDescent="0.3">
      <c r="A38" t="s">
        <v>45</v>
      </c>
      <c r="B38" t="s">
        <v>37</v>
      </c>
      <c r="C38" t="s">
        <v>37</v>
      </c>
      <c r="D38" t="s">
        <v>9</v>
      </c>
      <c r="E38" t="s">
        <v>9</v>
      </c>
      <c r="F38">
        <v>1</v>
      </c>
    </row>
    <row r="39" spans="1:6" x14ac:dyDescent="0.3">
      <c r="A39" t="s">
        <v>46</v>
      </c>
      <c r="B39" t="s">
        <v>37</v>
      </c>
      <c r="C39" t="s">
        <v>37</v>
      </c>
      <c r="D39" t="s">
        <v>9</v>
      </c>
      <c r="E39" t="s">
        <v>9</v>
      </c>
      <c r="F39">
        <v>1</v>
      </c>
    </row>
    <row r="40" spans="1:6" x14ac:dyDescent="0.3">
      <c r="A40" t="s">
        <v>47</v>
      </c>
      <c r="B40" t="s">
        <v>37</v>
      </c>
      <c r="C40" t="s">
        <v>37</v>
      </c>
      <c r="D40" t="s">
        <v>9</v>
      </c>
      <c r="E40" t="s">
        <v>9</v>
      </c>
      <c r="F40">
        <v>1</v>
      </c>
    </row>
    <row r="41" spans="1:6" x14ac:dyDescent="0.3">
      <c r="A41" t="s">
        <v>48</v>
      </c>
      <c r="B41" t="s">
        <v>37</v>
      </c>
      <c r="C41" t="s">
        <v>37</v>
      </c>
      <c r="D41" t="s">
        <v>9</v>
      </c>
      <c r="E41" t="s">
        <v>9</v>
      </c>
      <c r="F41">
        <v>1</v>
      </c>
    </row>
    <row r="42" spans="1:6" x14ac:dyDescent="0.3">
      <c r="A42" t="s">
        <v>49</v>
      </c>
      <c r="B42" t="s">
        <v>37</v>
      </c>
      <c r="C42" t="s">
        <v>37</v>
      </c>
      <c r="D42" t="s">
        <v>9</v>
      </c>
      <c r="E42" t="s">
        <v>9</v>
      </c>
      <c r="F42">
        <v>1</v>
      </c>
    </row>
    <row r="43" spans="1:6" x14ac:dyDescent="0.3">
      <c r="A43" t="s">
        <v>51</v>
      </c>
      <c r="B43" t="s">
        <v>37</v>
      </c>
      <c r="C43" t="s">
        <v>37</v>
      </c>
      <c r="D43" t="s">
        <v>9</v>
      </c>
      <c r="E43" t="s">
        <v>9</v>
      </c>
      <c r="F43">
        <v>1</v>
      </c>
    </row>
    <row r="44" spans="1:6" x14ac:dyDescent="0.3">
      <c r="A44" s="1" t="s">
        <v>28</v>
      </c>
      <c r="B44" s="1" t="s">
        <v>37</v>
      </c>
      <c r="C44" s="1" t="s">
        <v>37</v>
      </c>
      <c r="D44" s="1" t="s">
        <v>9</v>
      </c>
      <c r="E44" s="1" t="s">
        <v>8</v>
      </c>
      <c r="F44" s="1">
        <v>0</v>
      </c>
    </row>
    <row r="45" spans="1:6" x14ac:dyDescent="0.3">
      <c r="A45" t="s">
        <v>54</v>
      </c>
      <c r="B45" t="s">
        <v>37</v>
      </c>
      <c r="C45" t="s">
        <v>37</v>
      </c>
      <c r="D45" t="s">
        <v>9</v>
      </c>
      <c r="E45" t="s">
        <v>9</v>
      </c>
      <c r="F45">
        <v>1</v>
      </c>
    </row>
    <row r="46" spans="1:6" x14ac:dyDescent="0.3">
      <c r="A46" t="s">
        <v>55</v>
      </c>
      <c r="B46" t="s">
        <v>37</v>
      </c>
      <c r="C46" t="s">
        <v>37</v>
      </c>
      <c r="D46" t="s">
        <v>9</v>
      </c>
      <c r="E46" t="s">
        <v>9</v>
      </c>
      <c r="F46">
        <v>1</v>
      </c>
    </row>
  </sheetData>
  <sortState xmlns:xlrd2="http://schemas.microsoft.com/office/spreadsheetml/2017/richdata2" ref="A2:F46">
    <sortCondition descending="1" ref="C2:C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4EC2-9A91-4372-B7CE-866CD35C6511}">
  <dimension ref="A1:J46"/>
  <sheetViews>
    <sheetView topLeftCell="A7" workbookViewId="0">
      <selection activeCell="J9" sqref="J9:J10"/>
    </sheetView>
  </sheetViews>
  <sheetFormatPr defaultRowHeight="14.4" x14ac:dyDescent="0.3"/>
  <cols>
    <col min="1" max="1" width="19.5546875" customWidth="1"/>
    <col min="2" max="2" width="20.21875" customWidth="1"/>
    <col min="3" max="3" width="18.21875" customWidth="1"/>
    <col min="4" max="4" width="18.33203125" customWidth="1"/>
    <col min="5" max="5" width="19.109375" customWidth="1"/>
    <col min="6" max="6" width="18" customWidth="1"/>
    <col min="9" max="9" width="16.6640625" customWidth="1"/>
    <col min="10" max="10" width="16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26</v>
      </c>
      <c r="B2" t="s">
        <v>35</v>
      </c>
      <c r="C2" t="s">
        <v>7</v>
      </c>
      <c r="D2" t="s">
        <v>8</v>
      </c>
      <c r="E2" t="s">
        <v>8</v>
      </c>
      <c r="F2">
        <v>1</v>
      </c>
    </row>
    <row r="3" spans="1:10" x14ac:dyDescent="0.3">
      <c r="A3" t="s">
        <v>34</v>
      </c>
      <c r="B3" t="s">
        <v>35</v>
      </c>
      <c r="C3" t="s">
        <v>7</v>
      </c>
      <c r="D3" t="s">
        <v>8</v>
      </c>
      <c r="E3" t="s">
        <v>8</v>
      </c>
      <c r="F3">
        <v>1</v>
      </c>
    </row>
    <row r="4" spans="1:10" x14ac:dyDescent="0.3">
      <c r="A4" s="1" t="s">
        <v>29</v>
      </c>
      <c r="B4" s="1" t="s">
        <v>35</v>
      </c>
      <c r="C4" s="1" t="s">
        <v>7</v>
      </c>
      <c r="D4" s="1" t="s">
        <v>8</v>
      </c>
      <c r="E4" s="1" t="s">
        <v>9</v>
      </c>
      <c r="F4" s="1">
        <v>0</v>
      </c>
    </row>
    <row r="5" spans="1:10" x14ac:dyDescent="0.3">
      <c r="A5" t="s">
        <v>52</v>
      </c>
      <c r="B5" t="s">
        <v>35</v>
      </c>
      <c r="C5" t="s">
        <v>7</v>
      </c>
      <c r="D5" t="s">
        <v>8</v>
      </c>
      <c r="E5" t="s">
        <v>8</v>
      </c>
      <c r="F5">
        <v>1</v>
      </c>
    </row>
    <row r="6" spans="1:10" x14ac:dyDescent="0.3">
      <c r="A6" t="s">
        <v>41</v>
      </c>
      <c r="B6" t="s">
        <v>35</v>
      </c>
      <c r="C6" t="s">
        <v>7</v>
      </c>
      <c r="D6" t="s">
        <v>8</v>
      </c>
      <c r="E6" t="s">
        <v>8</v>
      </c>
      <c r="F6">
        <v>1</v>
      </c>
    </row>
    <row r="7" spans="1:10" x14ac:dyDescent="0.3">
      <c r="A7" t="s">
        <v>50</v>
      </c>
      <c r="B7" t="s">
        <v>35</v>
      </c>
      <c r="C7" t="s">
        <v>7</v>
      </c>
      <c r="D7" t="s">
        <v>8</v>
      </c>
      <c r="E7" t="s">
        <v>8</v>
      </c>
      <c r="F7">
        <v>1</v>
      </c>
    </row>
    <row r="8" spans="1:10" x14ac:dyDescent="0.3">
      <c r="A8" t="s">
        <v>20</v>
      </c>
      <c r="B8" t="s">
        <v>35</v>
      </c>
      <c r="C8" t="s">
        <v>7</v>
      </c>
      <c r="D8" t="s">
        <v>8</v>
      </c>
      <c r="E8" t="s">
        <v>8</v>
      </c>
      <c r="F8">
        <v>1</v>
      </c>
    </row>
    <row r="9" spans="1:10" x14ac:dyDescent="0.3">
      <c r="A9" t="s">
        <v>10</v>
      </c>
      <c r="B9" t="s">
        <v>35</v>
      </c>
      <c r="C9" t="s">
        <v>7</v>
      </c>
      <c r="D9" t="s">
        <v>8</v>
      </c>
      <c r="E9" t="s">
        <v>8</v>
      </c>
      <c r="F9">
        <v>1</v>
      </c>
      <c r="I9" t="s">
        <v>56</v>
      </c>
      <c r="J9">
        <f>AVERAGEIF(C:C, "shallow", F:F)</f>
        <v>0.8</v>
      </c>
    </row>
    <row r="10" spans="1:10" x14ac:dyDescent="0.3">
      <c r="A10" t="s">
        <v>53</v>
      </c>
      <c r="B10" t="s">
        <v>35</v>
      </c>
      <c r="C10" t="s">
        <v>7</v>
      </c>
      <c r="D10" t="s">
        <v>8</v>
      </c>
      <c r="E10" t="s">
        <v>8</v>
      </c>
      <c r="F10">
        <v>1</v>
      </c>
      <c r="I10" t="s">
        <v>57</v>
      </c>
      <c r="J10" s="2">
        <f>AVERAGEIF(C:C, "deep", F:F)</f>
        <v>0.93333333333333335</v>
      </c>
    </row>
    <row r="11" spans="1:10" x14ac:dyDescent="0.3">
      <c r="A11" s="1" t="s">
        <v>38</v>
      </c>
      <c r="B11" s="1" t="s">
        <v>35</v>
      </c>
      <c r="C11" s="1" t="s">
        <v>7</v>
      </c>
      <c r="D11" s="1" t="s">
        <v>8</v>
      </c>
      <c r="E11" s="1" t="s">
        <v>9</v>
      </c>
      <c r="F11" s="1">
        <v>0</v>
      </c>
    </row>
    <row r="12" spans="1:10" x14ac:dyDescent="0.3">
      <c r="A12" t="s">
        <v>6</v>
      </c>
      <c r="B12" t="s">
        <v>35</v>
      </c>
      <c r="C12" t="s">
        <v>7</v>
      </c>
      <c r="D12" t="s">
        <v>8</v>
      </c>
      <c r="E12" t="s">
        <v>8</v>
      </c>
      <c r="F12">
        <v>1</v>
      </c>
    </row>
    <row r="13" spans="1:10" x14ac:dyDescent="0.3">
      <c r="A13" t="s">
        <v>33</v>
      </c>
      <c r="B13" t="s">
        <v>35</v>
      </c>
      <c r="C13" t="s">
        <v>7</v>
      </c>
      <c r="D13" t="s">
        <v>8</v>
      </c>
      <c r="E13" t="s">
        <v>8</v>
      </c>
      <c r="F13">
        <v>1</v>
      </c>
    </row>
    <row r="14" spans="1:10" x14ac:dyDescent="0.3">
      <c r="A14" t="s">
        <v>21</v>
      </c>
      <c r="B14" t="s">
        <v>35</v>
      </c>
      <c r="C14" t="s">
        <v>7</v>
      </c>
      <c r="D14" t="s">
        <v>8</v>
      </c>
      <c r="E14" t="s">
        <v>8</v>
      </c>
      <c r="F14">
        <v>1</v>
      </c>
    </row>
    <row r="15" spans="1:10" x14ac:dyDescent="0.3">
      <c r="A15" t="s">
        <v>27</v>
      </c>
      <c r="B15" t="s">
        <v>35</v>
      </c>
      <c r="C15" t="s">
        <v>7</v>
      </c>
      <c r="D15" t="s">
        <v>8</v>
      </c>
      <c r="E15" t="s">
        <v>8</v>
      </c>
      <c r="F15">
        <v>1</v>
      </c>
    </row>
    <row r="16" spans="1:10" x14ac:dyDescent="0.3">
      <c r="A16" s="1" t="s">
        <v>30</v>
      </c>
      <c r="B16" s="1" t="s">
        <v>35</v>
      </c>
      <c r="C16" s="1" t="s">
        <v>7</v>
      </c>
      <c r="D16" s="1" t="s">
        <v>8</v>
      </c>
      <c r="E16" s="1" t="s">
        <v>9</v>
      </c>
      <c r="F16" s="1">
        <v>0</v>
      </c>
    </row>
    <row r="17" spans="1:6" x14ac:dyDescent="0.3">
      <c r="A17" t="s">
        <v>31</v>
      </c>
      <c r="B17" t="s">
        <v>35</v>
      </c>
      <c r="C17" t="s">
        <v>12</v>
      </c>
      <c r="D17" t="s">
        <v>8</v>
      </c>
      <c r="E17" t="s">
        <v>8</v>
      </c>
      <c r="F17">
        <v>1</v>
      </c>
    </row>
    <row r="18" spans="1:6" x14ac:dyDescent="0.3">
      <c r="A18" t="s">
        <v>11</v>
      </c>
      <c r="B18" t="s">
        <v>35</v>
      </c>
      <c r="C18" t="s">
        <v>12</v>
      </c>
      <c r="D18" t="s">
        <v>8</v>
      </c>
      <c r="E18" t="s">
        <v>8</v>
      </c>
      <c r="F18">
        <v>1</v>
      </c>
    </row>
    <row r="19" spans="1:6" x14ac:dyDescent="0.3">
      <c r="A19" t="s">
        <v>14</v>
      </c>
      <c r="B19" t="s">
        <v>35</v>
      </c>
      <c r="C19" t="s">
        <v>12</v>
      </c>
      <c r="D19" t="s">
        <v>8</v>
      </c>
      <c r="E19" t="s">
        <v>8</v>
      </c>
      <c r="F19">
        <v>1</v>
      </c>
    </row>
    <row r="20" spans="1:6" x14ac:dyDescent="0.3">
      <c r="A20" t="s">
        <v>15</v>
      </c>
      <c r="B20" t="s">
        <v>35</v>
      </c>
      <c r="C20" t="s">
        <v>12</v>
      </c>
      <c r="D20" t="s">
        <v>8</v>
      </c>
      <c r="E20" t="s">
        <v>8</v>
      </c>
      <c r="F20">
        <v>1</v>
      </c>
    </row>
    <row r="21" spans="1:6" x14ac:dyDescent="0.3">
      <c r="A21" t="s">
        <v>16</v>
      </c>
      <c r="B21" t="s">
        <v>35</v>
      </c>
      <c r="C21" t="s">
        <v>12</v>
      </c>
      <c r="D21" t="s">
        <v>8</v>
      </c>
      <c r="E21" t="s">
        <v>8</v>
      </c>
      <c r="F21">
        <v>1</v>
      </c>
    </row>
    <row r="22" spans="1:6" x14ac:dyDescent="0.3">
      <c r="A22" t="s">
        <v>23</v>
      </c>
      <c r="B22" t="s">
        <v>35</v>
      </c>
      <c r="C22" t="s">
        <v>12</v>
      </c>
      <c r="D22" t="s">
        <v>8</v>
      </c>
      <c r="E22" t="s">
        <v>8</v>
      </c>
      <c r="F22">
        <v>1</v>
      </c>
    </row>
    <row r="23" spans="1:6" x14ac:dyDescent="0.3">
      <c r="A23" t="s">
        <v>18</v>
      </c>
      <c r="B23" t="s">
        <v>35</v>
      </c>
      <c r="C23" t="s">
        <v>12</v>
      </c>
      <c r="D23" t="s">
        <v>8</v>
      </c>
      <c r="E23" t="s">
        <v>8</v>
      </c>
      <c r="F23">
        <v>1</v>
      </c>
    </row>
    <row r="24" spans="1:6" x14ac:dyDescent="0.3">
      <c r="A24" t="s">
        <v>19</v>
      </c>
      <c r="B24" t="s">
        <v>35</v>
      </c>
      <c r="C24" t="s">
        <v>12</v>
      </c>
      <c r="D24" t="s">
        <v>8</v>
      </c>
      <c r="E24" t="s">
        <v>8</v>
      </c>
      <c r="F24">
        <v>1</v>
      </c>
    </row>
    <row r="25" spans="1:6" x14ac:dyDescent="0.3">
      <c r="A25" t="s">
        <v>17</v>
      </c>
      <c r="B25" t="s">
        <v>35</v>
      </c>
      <c r="C25" t="s">
        <v>12</v>
      </c>
      <c r="D25" t="s">
        <v>8</v>
      </c>
      <c r="E25" t="s">
        <v>8</v>
      </c>
      <c r="F25">
        <v>1</v>
      </c>
    </row>
    <row r="26" spans="1:6" x14ac:dyDescent="0.3">
      <c r="A26" t="s">
        <v>22</v>
      </c>
      <c r="B26" t="s">
        <v>35</v>
      </c>
      <c r="C26" t="s">
        <v>12</v>
      </c>
      <c r="D26" t="s">
        <v>8</v>
      </c>
      <c r="E26" t="s">
        <v>8</v>
      </c>
      <c r="F26">
        <v>1</v>
      </c>
    </row>
    <row r="27" spans="1:6" x14ac:dyDescent="0.3">
      <c r="A27" t="s">
        <v>13</v>
      </c>
      <c r="B27" t="s">
        <v>35</v>
      </c>
      <c r="C27" t="s">
        <v>12</v>
      </c>
      <c r="D27" t="s">
        <v>8</v>
      </c>
      <c r="E27" t="s">
        <v>8</v>
      </c>
      <c r="F27">
        <v>1</v>
      </c>
    </row>
    <row r="28" spans="1:6" x14ac:dyDescent="0.3">
      <c r="A28" t="s">
        <v>25</v>
      </c>
      <c r="B28" t="s">
        <v>35</v>
      </c>
      <c r="C28" t="s">
        <v>12</v>
      </c>
      <c r="D28" t="s">
        <v>8</v>
      </c>
      <c r="E28" t="s">
        <v>8</v>
      </c>
      <c r="F28">
        <v>1</v>
      </c>
    </row>
    <row r="29" spans="1:6" x14ac:dyDescent="0.3">
      <c r="A29" s="1" t="s">
        <v>24</v>
      </c>
      <c r="B29" s="1" t="s">
        <v>35</v>
      </c>
      <c r="C29" s="1" t="s">
        <v>12</v>
      </c>
      <c r="D29" s="1" t="s">
        <v>8</v>
      </c>
      <c r="E29" s="1" t="s">
        <v>9</v>
      </c>
      <c r="F29" s="1">
        <v>0</v>
      </c>
    </row>
    <row r="30" spans="1:6" x14ac:dyDescent="0.3">
      <c r="A30" t="s">
        <v>32</v>
      </c>
      <c r="B30" t="s">
        <v>35</v>
      </c>
      <c r="C30" t="s">
        <v>12</v>
      </c>
      <c r="D30" t="s">
        <v>8</v>
      </c>
      <c r="E30" t="s">
        <v>8</v>
      </c>
      <c r="F30">
        <v>1</v>
      </c>
    </row>
    <row r="31" spans="1:6" x14ac:dyDescent="0.3">
      <c r="A31" t="s">
        <v>28</v>
      </c>
      <c r="B31" t="s">
        <v>35</v>
      </c>
      <c r="C31" t="s">
        <v>12</v>
      </c>
      <c r="D31" t="s">
        <v>8</v>
      </c>
      <c r="E31" t="s">
        <v>8</v>
      </c>
      <c r="F31">
        <v>1</v>
      </c>
    </row>
    <row r="32" spans="1:6" x14ac:dyDescent="0.3">
      <c r="A32" t="s">
        <v>43</v>
      </c>
      <c r="B32" t="s">
        <v>37</v>
      </c>
      <c r="C32" t="s">
        <v>37</v>
      </c>
      <c r="D32" t="s">
        <v>9</v>
      </c>
      <c r="E32" t="s">
        <v>9</v>
      </c>
      <c r="F32">
        <v>1</v>
      </c>
    </row>
    <row r="33" spans="1:6" x14ac:dyDescent="0.3">
      <c r="A33" s="1" t="s">
        <v>28</v>
      </c>
      <c r="B33" s="1" t="s">
        <v>37</v>
      </c>
      <c r="C33" s="1" t="s">
        <v>37</v>
      </c>
      <c r="D33" s="1" t="s">
        <v>9</v>
      </c>
      <c r="E33" s="1" t="s">
        <v>8</v>
      </c>
      <c r="F33" s="1">
        <v>0</v>
      </c>
    </row>
    <row r="34" spans="1:6" x14ac:dyDescent="0.3">
      <c r="A34" t="s">
        <v>39</v>
      </c>
      <c r="B34" t="s">
        <v>37</v>
      </c>
      <c r="C34" t="s">
        <v>37</v>
      </c>
      <c r="D34" t="s">
        <v>9</v>
      </c>
      <c r="E34" t="s">
        <v>9</v>
      </c>
      <c r="F34">
        <v>1</v>
      </c>
    </row>
    <row r="35" spans="1:6" x14ac:dyDescent="0.3">
      <c r="A35" t="s">
        <v>36</v>
      </c>
      <c r="B35" t="s">
        <v>37</v>
      </c>
      <c r="C35" t="s">
        <v>37</v>
      </c>
      <c r="D35" t="s">
        <v>9</v>
      </c>
      <c r="E35" t="s">
        <v>9</v>
      </c>
      <c r="F35">
        <v>1</v>
      </c>
    </row>
    <row r="36" spans="1:6" x14ac:dyDescent="0.3">
      <c r="A36" t="s">
        <v>44</v>
      </c>
      <c r="B36" t="s">
        <v>37</v>
      </c>
      <c r="C36" t="s">
        <v>37</v>
      </c>
      <c r="D36" t="s">
        <v>9</v>
      </c>
      <c r="E36" t="s">
        <v>9</v>
      </c>
      <c r="F36">
        <v>1</v>
      </c>
    </row>
    <row r="37" spans="1:6" x14ac:dyDescent="0.3">
      <c r="A37" t="s">
        <v>42</v>
      </c>
      <c r="B37" t="s">
        <v>37</v>
      </c>
      <c r="C37" t="s">
        <v>37</v>
      </c>
      <c r="D37" t="s">
        <v>9</v>
      </c>
      <c r="E37" t="s">
        <v>9</v>
      </c>
      <c r="F37">
        <v>1</v>
      </c>
    </row>
    <row r="38" spans="1:6" x14ac:dyDescent="0.3">
      <c r="A38" t="s">
        <v>51</v>
      </c>
      <c r="B38" t="s">
        <v>37</v>
      </c>
      <c r="C38" t="s">
        <v>37</v>
      </c>
      <c r="D38" t="s">
        <v>9</v>
      </c>
      <c r="E38" t="s">
        <v>9</v>
      </c>
      <c r="F38">
        <v>1</v>
      </c>
    </row>
    <row r="39" spans="1:6" x14ac:dyDescent="0.3">
      <c r="A39" t="s">
        <v>54</v>
      </c>
      <c r="B39" t="s">
        <v>37</v>
      </c>
      <c r="C39" t="s">
        <v>37</v>
      </c>
      <c r="D39" t="s">
        <v>9</v>
      </c>
      <c r="E39" t="s">
        <v>9</v>
      </c>
      <c r="F39">
        <v>1</v>
      </c>
    </row>
    <row r="40" spans="1:6" x14ac:dyDescent="0.3">
      <c r="A40" s="1" t="s">
        <v>48</v>
      </c>
      <c r="B40" s="1" t="s">
        <v>37</v>
      </c>
      <c r="C40" s="1" t="s">
        <v>37</v>
      </c>
      <c r="D40" s="1" t="s">
        <v>9</v>
      </c>
      <c r="E40" s="1" t="s">
        <v>8</v>
      </c>
      <c r="F40" s="1">
        <v>0</v>
      </c>
    </row>
    <row r="41" spans="1:6" x14ac:dyDescent="0.3">
      <c r="A41" s="1" t="s">
        <v>49</v>
      </c>
      <c r="B41" s="1" t="s">
        <v>37</v>
      </c>
      <c r="C41" s="1" t="s">
        <v>37</v>
      </c>
      <c r="D41" s="1" t="s">
        <v>9</v>
      </c>
      <c r="E41" s="1" t="s">
        <v>8</v>
      </c>
      <c r="F41" s="1">
        <v>0</v>
      </c>
    </row>
    <row r="42" spans="1:6" x14ac:dyDescent="0.3">
      <c r="A42" t="s">
        <v>45</v>
      </c>
      <c r="B42" t="s">
        <v>37</v>
      </c>
      <c r="C42" t="s">
        <v>37</v>
      </c>
      <c r="D42" t="s">
        <v>9</v>
      </c>
      <c r="E42" t="s">
        <v>9</v>
      </c>
      <c r="F42">
        <v>1</v>
      </c>
    </row>
    <row r="43" spans="1:6" x14ac:dyDescent="0.3">
      <c r="A43" t="s">
        <v>47</v>
      </c>
      <c r="B43" t="s">
        <v>37</v>
      </c>
      <c r="C43" t="s">
        <v>37</v>
      </c>
      <c r="D43" t="s">
        <v>9</v>
      </c>
      <c r="E43" t="s">
        <v>9</v>
      </c>
      <c r="F43">
        <v>1</v>
      </c>
    </row>
    <row r="44" spans="1:6" x14ac:dyDescent="0.3">
      <c r="A44" t="s">
        <v>40</v>
      </c>
      <c r="B44" t="s">
        <v>37</v>
      </c>
      <c r="C44" t="s">
        <v>37</v>
      </c>
      <c r="D44" t="s">
        <v>9</v>
      </c>
      <c r="E44" t="s">
        <v>9</v>
      </c>
      <c r="F44">
        <v>1</v>
      </c>
    </row>
    <row r="45" spans="1:6" x14ac:dyDescent="0.3">
      <c r="A45" t="s">
        <v>55</v>
      </c>
      <c r="B45" t="s">
        <v>37</v>
      </c>
      <c r="C45" t="s">
        <v>37</v>
      </c>
      <c r="D45" t="s">
        <v>9</v>
      </c>
      <c r="E45" t="s">
        <v>9</v>
      </c>
      <c r="F45">
        <v>1</v>
      </c>
    </row>
    <row r="46" spans="1:6" x14ac:dyDescent="0.3">
      <c r="A46" t="s">
        <v>46</v>
      </c>
      <c r="B46" t="s">
        <v>37</v>
      </c>
      <c r="C46" t="s">
        <v>37</v>
      </c>
      <c r="D46" t="s">
        <v>9</v>
      </c>
      <c r="E46" t="s">
        <v>9</v>
      </c>
      <c r="F46">
        <v>1</v>
      </c>
    </row>
  </sheetData>
  <sortState xmlns:xlrd2="http://schemas.microsoft.com/office/spreadsheetml/2017/richdata2" ref="A2:F46">
    <sortCondition descending="1" ref="C1:C4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0CF5-2620-4F6B-9743-15AE08499115}">
  <dimension ref="A1:J46"/>
  <sheetViews>
    <sheetView workbookViewId="0">
      <selection activeCell="J9" sqref="J9:J10"/>
    </sheetView>
  </sheetViews>
  <sheetFormatPr defaultRowHeight="14.4" x14ac:dyDescent="0.3"/>
  <cols>
    <col min="1" max="1" width="19" customWidth="1"/>
    <col min="2" max="2" width="18.77734375" customWidth="1"/>
    <col min="3" max="3" width="19" customWidth="1"/>
    <col min="4" max="4" width="17.5546875" customWidth="1"/>
    <col min="5" max="5" width="18.6640625" customWidth="1"/>
    <col min="6" max="6" width="20" customWidth="1"/>
    <col min="9" max="9" width="18.33203125" customWidth="1"/>
    <col min="10" max="10" width="18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41</v>
      </c>
      <c r="B2" t="s">
        <v>35</v>
      </c>
      <c r="C2" t="s">
        <v>7</v>
      </c>
      <c r="D2" t="s">
        <v>8</v>
      </c>
      <c r="E2" t="s">
        <v>8</v>
      </c>
      <c r="F2">
        <v>1</v>
      </c>
    </row>
    <row r="3" spans="1:10" x14ac:dyDescent="0.3">
      <c r="A3" t="s">
        <v>10</v>
      </c>
      <c r="B3" t="s">
        <v>35</v>
      </c>
      <c r="C3" t="s">
        <v>7</v>
      </c>
      <c r="D3" t="s">
        <v>8</v>
      </c>
      <c r="E3" t="s">
        <v>8</v>
      </c>
      <c r="F3">
        <v>1</v>
      </c>
    </row>
    <row r="4" spans="1:10" x14ac:dyDescent="0.3">
      <c r="A4" t="s">
        <v>50</v>
      </c>
      <c r="B4" t="s">
        <v>35</v>
      </c>
      <c r="C4" t="s">
        <v>7</v>
      </c>
      <c r="D4" t="s">
        <v>8</v>
      </c>
      <c r="E4" t="s">
        <v>8</v>
      </c>
      <c r="F4">
        <v>1</v>
      </c>
    </row>
    <row r="5" spans="1:10" x14ac:dyDescent="0.3">
      <c r="A5" s="1" t="s">
        <v>27</v>
      </c>
      <c r="B5" s="1" t="s">
        <v>35</v>
      </c>
      <c r="C5" s="1" t="s">
        <v>7</v>
      </c>
      <c r="D5" s="1" t="s">
        <v>8</v>
      </c>
      <c r="E5" s="1" t="s">
        <v>9</v>
      </c>
      <c r="F5" s="1">
        <v>0</v>
      </c>
    </row>
    <row r="6" spans="1:10" x14ac:dyDescent="0.3">
      <c r="A6" t="s">
        <v>52</v>
      </c>
      <c r="B6" t="s">
        <v>35</v>
      </c>
      <c r="C6" t="s">
        <v>7</v>
      </c>
      <c r="D6" t="s">
        <v>8</v>
      </c>
      <c r="E6" t="s">
        <v>8</v>
      </c>
      <c r="F6">
        <v>1</v>
      </c>
    </row>
    <row r="7" spans="1:10" x14ac:dyDescent="0.3">
      <c r="A7" t="s">
        <v>21</v>
      </c>
      <c r="B7" t="s">
        <v>35</v>
      </c>
      <c r="C7" t="s">
        <v>7</v>
      </c>
      <c r="D7" t="s">
        <v>8</v>
      </c>
      <c r="E7" t="s">
        <v>8</v>
      </c>
      <c r="F7">
        <v>1</v>
      </c>
    </row>
    <row r="8" spans="1:10" x14ac:dyDescent="0.3">
      <c r="A8" t="s">
        <v>26</v>
      </c>
      <c r="B8" t="s">
        <v>35</v>
      </c>
      <c r="C8" t="s">
        <v>7</v>
      </c>
      <c r="D8" t="s">
        <v>8</v>
      </c>
      <c r="E8" t="s">
        <v>8</v>
      </c>
      <c r="F8">
        <v>1</v>
      </c>
    </row>
    <row r="9" spans="1:10" x14ac:dyDescent="0.3">
      <c r="A9" s="1" t="s">
        <v>38</v>
      </c>
      <c r="B9" s="1" t="s">
        <v>35</v>
      </c>
      <c r="C9" s="1" t="s">
        <v>7</v>
      </c>
      <c r="D9" s="1" t="s">
        <v>8</v>
      </c>
      <c r="E9" s="1" t="s">
        <v>9</v>
      </c>
      <c r="F9" s="1">
        <v>0</v>
      </c>
      <c r="I9" t="s">
        <v>56</v>
      </c>
      <c r="J9" s="2">
        <f>AVERAGEIF(C:C, "shallow", F:F)</f>
        <v>0.66666666666666663</v>
      </c>
    </row>
    <row r="10" spans="1:10" x14ac:dyDescent="0.3">
      <c r="A10" s="1" t="s">
        <v>53</v>
      </c>
      <c r="B10" s="1" t="s">
        <v>35</v>
      </c>
      <c r="C10" s="1" t="s">
        <v>7</v>
      </c>
      <c r="D10" s="1" t="s">
        <v>8</v>
      </c>
      <c r="E10" s="1" t="s">
        <v>9</v>
      </c>
      <c r="F10" s="1">
        <v>0</v>
      </c>
      <c r="I10" t="s">
        <v>57</v>
      </c>
      <c r="J10">
        <f>AVERAGEIF(C:C, "deep", F:F)</f>
        <v>0.8</v>
      </c>
    </row>
    <row r="11" spans="1:10" x14ac:dyDescent="0.3">
      <c r="A11" t="s">
        <v>30</v>
      </c>
      <c r="B11" t="s">
        <v>35</v>
      </c>
      <c r="C11" t="s">
        <v>7</v>
      </c>
      <c r="D11" t="s">
        <v>8</v>
      </c>
      <c r="E11" t="s">
        <v>8</v>
      </c>
      <c r="F11">
        <v>1</v>
      </c>
    </row>
    <row r="12" spans="1:10" x14ac:dyDescent="0.3">
      <c r="A12" t="s">
        <v>33</v>
      </c>
      <c r="B12" t="s">
        <v>35</v>
      </c>
      <c r="C12" t="s">
        <v>7</v>
      </c>
      <c r="D12" t="s">
        <v>8</v>
      </c>
      <c r="E12" t="s">
        <v>8</v>
      </c>
      <c r="F12">
        <v>1</v>
      </c>
    </row>
    <row r="13" spans="1:10" x14ac:dyDescent="0.3">
      <c r="A13" t="s">
        <v>29</v>
      </c>
      <c r="B13" t="s">
        <v>35</v>
      </c>
      <c r="C13" t="s">
        <v>7</v>
      </c>
      <c r="D13" t="s">
        <v>8</v>
      </c>
      <c r="E13" t="s">
        <v>8</v>
      </c>
      <c r="F13">
        <v>1</v>
      </c>
    </row>
    <row r="14" spans="1:10" x14ac:dyDescent="0.3">
      <c r="A14" t="s">
        <v>6</v>
      </c>
      <c r="B14" t="s">
        <v>35</v>
      </c>
      <c r="C14" t="s">
        <v>7</v>
      </c>
      <c r="D14" t="s">
        <v>8</v>
      </c>
      <c r="E14" t="s">
        <v>8</v>
      </c>
      <c r="F14">
        <v>1</v>
      </c>
    </row>
    <row r="15" spans="1:10" x14ac:dyDescent="0.3">
      <c r="A15" s="1" t="s">
        <v>34</v>
      </c>
      <c r="B15" s="1" t="s">
        <v>35</v>
      </c>
      <c r="C15" s="1" t="s">
        <v>7</v>
      </c>
      <c r="D15" s="1" t="s">
        <v>8</v>
      </c>
      <c r="E15" s="1" t="s">
        <v>9</v>
      </c>
      <c r="F15" s="1">
        <v>0</v>
      </c>
    </row>
    <row r="16" spans="1:10" x14ac:dyDescent="0.3">
      <c r="A16" s="1" t="s">
        <v>20</v>
      </c>
      <c r="B16" s="1" t="s">
        <v>35</v>
      </c>
      <c r="C16" s="1" t="s">
        <v>7</v>
      </c>
      <c r="D16" s="1" t="s">
        <v>8</v>
      </c>
      <c r="E16" s="1" t="s">
        <v>9</v>
      </c>
      <c r="F16" s="1">
        <v>0</v>
      </c>
    </row>
    <row r="17" spans="1:6" x14ac:dyDescent="0.3">
      <c r="A17" t="s">
        <v>25</v>
      </c>
      <c r="B17" t="s">
        <v>35</v>
      </c>
      <c r="C17" t="s">
        <v>12</v>
      </c>
      <c r="D17" t="s">
        <v>8</v>
      </c>
      <c r="E17" t="s">
        <v>8</v>
      </c>
      <c r="F17">
        <v>1</v>
      </c>
    </row>
    <row r="18" spans="1:6" x14ac:dyDescent="0.3">
      <c r="A18" t="s">
        <v>24</v>
      </c>
      <c r="B18" t="s">
        <v>35</v>
      </c>
      <c r="C18" t="s">
        <v>12</v>
      </c>
      <c r="D18" t="s">
        <v>8</v>
      </c>
      <c r="E18" t="s">
        <v>8</v>
      </c>
      <c r="F18">
        <v>1</v>
      </c>
    </row>
    <row r="19" spans="1:6" x14ac:dyDescent="0.3">
      <c r="A19" t="s">
        <v>32</v>
      </c>
      <c r="B19" t="s">
        <v>35</v>
      </c>
      <c r="C19" t="s">
        <v>12</v>
      </c>
      <c r="D19" t="s">
        <v>8</v>
      </c>
      <c r="E19" t="s">
        <v>8</v>
      </c>
      <c r="F19">
        <v>1</v>
      </c>
    </row>
    <row r="20" spans="1:6" x14ac:dyDescent="0.3">
      <c r="A20" t="s">
        <v>13</v>
      </c>
      <c r="B20" t="s">
        <v>35</v>
      </c>
      <c r="C20" t="s">
        <v>12</v>
      </c>
      <c r="D20" t="s">
        <v>8</v>
      </c>
      <c r="E20" t="s">
        <v>8</v>
      </c>
      <c r="F20">
        <v>1</v>
      </c>
    </row>
    <row r="21" spans="1:6" x14ac:dyDescent="0.3">
      <c r="A21" t="s">
        <v>19</v>
      </c>
      <c r="B21" t="s">
        <v>35</v>
      </c>
      <c r="C21" t="s">
        <v>12</v>
      </c>
      <c r="D21" t="s">
        <v>8</v>
      </c>
      <c r="E21" t="s">
        <v>8</v>
      </c>
      <c r="F21">
        <v>1</v>
      </c>
    </row>
    <row r="22" spans="1:6" x14ac:dyDescent="0.3">
      <c r="A22" t="s">
        <v>28</v>
      </c>
      <c r="B22" t="s">
        <v>35</v>
      </c>
      <c r="C22" t="s">
        <v>12</v>
      </c>
      <c r="D22" t="s">
        <v>8</v>
      </c>
      <c r="E22" t="s">
        <v>8</v>
      </c>
      <c r="F22">
        <v>1</v>
      </c>
    </row>
    <row r="23" spans="1:6" x14ac:dyDescent="0.3">
      <c r="A23" t="s">
        <v>16</v>
      </c>
      <c r="B23" t="s">
        <v>35</v>
      </c>
      <c r="C23" t="s">
        <v>12</v>
      </c>
      <c r="D23" t="s">
        <v>8</v>
      </c>
      <c r="E23" t="s">
        <v>8</v>
      </c>
      <c r="F23">
        <v>1</v>
      </c>
    </row>
    <row r="24" spans="1:6" x14ac:dyDescent="0.3">
      <c r="A24" t="s">
        <v>31</v>
      </c>
      <c r="B24" t="s">
        <v>35</v>
      </c>
      <c r="C24" t="s">
        <v>12</v>
      </c>
      <c r="D24" t="s">
        <v>8</v>
      </c>
      <c r="E24" t="s">
        <v>8</v>
      </c>
      <c r="F24">
        <v>1</v>
      </c>
    </row>
    <row r="25" spans="1:6" x14ac:dyDescent="0.3">
      <c r="A25" t="s">
        <v>15</v>
      </c>
      <c r="B25" t="s">
        <v>35</v>
      </c>
      <c r="C25" t="s">
        <v>12</v>
      </c>
      <c r="D25" t="s">
        <v>8</v>
      </c>
      <c r="E25" t="s">
        <v>8</v>
      </c>
      <c r="F25">
        <v>1</v>
      </c>
    </row>
    <row r="26" spans="1:6" x14ac:dyDescent="0.3">
      <c r="A26" t="s">
        <v>22</v>
      </c>
      <c r="B26" t="s">
        <v>35</v>
      </c>
      <c r="C26" t="s">
        <v>12</v>
      </c>
      <c r="D26" t="s">
        <v>8</v>
      </c>
      <c r="E26" t="s">
        <v>8</v>
      </c>
      <c r="F26">
        <v>1</v>
      </c>
    </row>
    <row r="27" spans="1:6" x14ac:dyDescent="0.3">
      <c r="A27" s="1" t="s">
        <v>23</v>
      </c>
      <c r="B27" s="1" t="s">
        <v>35</v>
      </c>
      <c r="C27" s="1" t="s">
        <v>12</v>
      </c>
      <c r="D27" s="1" t="s">
        <v>8</v>
      </c>
      <c r="E27" s="1" t="s">
        <v>9</v>
      </c>
      <c r="F27" s="1">
        <v>0</v>
      </c>
    </row>
    <row r="28" spans="1:6" x14ac:dyDescent="0.3">
      <c r="A28" s="1" t="s">
        <v>17</v>
      </c>
      <c r="B28" s="1" t="s">
        <v>35</v>
      </c>
      <c r="C28" s="1" t="s">
        <v>12</v>
      </c>
      <c r="D28" s="1" t="s">
        <v>8</v>
      </c>
      <c r="E28" s="1" t="s">
        <v>9</v>
      </c>
      <c r="F28" s="1">
        <v>0</v>
      </c>
    </row>
    <row r="29" spans="1:6" x14ac:dyDescent="0.3">
      <c r="A29" t="s">
        <v>14</v>
      </c>
      <c r="B29" t="s">
        <v>35</v>
      </c>
      <c r="C29" t="s">
        <v>12</v>
      </c>
      <c r="D29" t="s">
        <v>8</v>
      </c>
      <c r="E29" t="s">
        <v>8</v>
      </c>
      <c r="F29">
        <v>1</v>
      </c>
    </row>
    <row r="30" spans="1:6" x14ac:dyDescent="0.3">
      <c r="A30" s="1" t="s">
        <v>11</v>
      </c>
      <c r="B30" s="1" t="s">
        <v>35</v>
      </c>
      <c r="C30" s="1" t="s">
        <v>12</v>
      </c>
      <c r="D30" s="1" t="s">
        <v>8</v>
      </c>
      <c r="E30" s="1" t="s">
        <v>9</v>
      </c>
      <c r="F30" s="1">
        <v>0</v>
      </c>
    </row>
    <row r="31" spans="1:6" x14ac:dyDescent="0.3">
      <c r="A31" t="s">
        <v>18</v>
      </c>
      <c r="B31" t="s">
        <v>35</v>
      </c>
      <c r="C31" t="s">
        <v>12</v>
      </c>
      <c r="D31" t="s">
        <v>8</v>
      </c>
      <c r="E31" t="s">
        <v>8</v>
      </c>
      <c r="F31">
        <v>1</v>
      </c>
    </row>
    <row r="32" spans="1:6" x14ac:dyDescent="0.3">
      <c r="A32" t="s">
        <v>46</v>
      </c>
      <c r="B32" t="s">
        <v>37</v>
      </c>
      <c r="C32" t="s">
        <v>37</v>
      </c>
      <c r="D32" t="s">
        <v>9</v>
      </c>
      <c r="E32" t="s">
        <v>9</v>
      </c>
      <c r="F32">
        <v>1</v>
      </c>
    </row>
    <row r="33" spans="1:6" x14ac:dyDescent="0.3">
      <c r="A33" t="s">
        <v>36</v>
      </c>
      <c r="B33" t="s">
        <v>37</v>
      </c>
      <c r="C33" t="s">
        <v>37</v>
      </c>
      <c r="D33" t="s">
        <v>9</v>
      </c>
      <c r="E33" t="s">
        <v>9</v>
      </c>
      <c r="F33">
        <v>1</v>
      </c>
    </row>
    <row r="34" spans="1:6" x14ac:dyDescent="0.3">
      <c r="A34" t="s">
        <v>39</v>
      </c>
      <c r="B34" t="s">
        <v>37</v>
      </c>
      <c r="C34" t="s">
        <v>37</v>
      </c>
      <c r="D34" t="s">
        <v>9</v>
      </c>
      <c r="E34" t="s">
        <v>9</v>
      </c>
      <c r="F34">
        <v>1</v>
      </c>
    </row>
    <row r="35" spans="1:6" x14ac:dyDescent="0.3">
      <c r="A35" t="s">
        <v>48</v>
      </c>
      <c r="B35" t="s">
        <v>37</v>
      </c>
      <c r="C35" t="s">
        <v>37</v>
      </c>
      <c r="D35" t="s">
        <v>9</v>
      </c>
      <c r="E35" t="s">
        <v>9</v>
      </c>
      <c r="F35">
        <v>1</v>
      </c>
    </row>
    <row r="36" spans="1:6" x14ac:dyDescent="0.3">
      <c r="A36" t="s">
        <v>54</v>
      </c>
      <c r="B36" t="s">
        <v>37</v>
      </c>
      <c r="C36" t="s">
        <v>37</v>
      </c>
      <c r="D36" t="s">
        <v>9</v>
      </c>
      <c r="E36" t="s">
        <v>9</v>
      </c>
      <c r="F36">
        <v>1</v>
      </c>
    </row>
    <row r="37" spans="1:6" x14ac:dyDescent="0.3">
      <c r="A37" t="s">
        <v>40</v>
      </c>
      <c r="B37" t="s">
        <v>37</v>
      </c>
      <c r="C37" t="s">
        <v>37</v>
      </c>
      <c r="D37" t="s">
        <v>9</v>
      </c>
      <c r="E37" t="s">
        <v>9</v>
      </c>
      <c r="F37">
        <v>1</v>
      </c>
    </row>
    <row r="38" spans="1:6" x14ac:dyDescent="0.3">
      <c r="A38" t="s">
        <v>51</v>
      </c>
      <c r="B38" t="s">
        <v>37</v>
      </c>
      <c r="C38" t="s">
        <v>37</v>
      </c>
      <c r="D38" t="s">
        <v>9</v>
      </c>
      <c r="E38" t="s">
        <v>9</v>
      </c>
      <c r="F38">
        <v>1</v>
      </c>
    </row>
    <row r="39" spans="1:6" x14ac:dyDescent="0.3">
      <c r="A39" t="s">
        <v>47</v>
      </c>
      <c r="B39" t="s">
        <v>37</v>
      </c>
      <c r="C39" t="s">
        <v>37</v>
      </c>
      <c r="D39" t="s">
        <v>9</v>
      </c>
      <c r="E39" t="s">
        <v>9</v>
      </c>
      <c r="F39">
        <v>1</v>
      </c>
    </row>
    <row r="40" spans="1:6" x14ac:dyDescent="0.3">
      <c r="A40" t="s">
        <v>43</v>
      </c>
      <c r="B40" t="s">
        <v>37</v>
      </c>
      <c r="C40" t="s">
        <v>37</v>
      </c>
      <c r="D40" t="s">
        <v>9</v>
      </c>
      <c r="E40" t="s">
        <v>9</v>
      </c>
      <c r="F40">
        <v>1</v>
      </c>
    </row>
    <row r="41" spans="1:6" x14ac:dyDescent="0.3">
      <c r="A41" t="s">
        <v>45</v>
      </c>
      <c r="B41" t="s">
        <v>37</v>
      </c>
      <c r="C41" t="s">
        <v>37</v>
      </c>
      <c r="D41" t="s">
        <v>9</v>
      </c>
      <c r="E41" t="s">
        <v>9</v>
      </c>
      <c r="F41">
        <v>1</v>
      </c>
    </row>
    <row r="42" spans="1:6" x14ac:dyDescent="0.3">
      <c r="A42" t="s">
        <v>55</v>
      </c>
      <c r="B42" t="s">
        <v>37</v>
      </c>
      <c r="C42" t="s">
        <v>37</v>
      </c>
      <c r="D42" t="s">
        <v>9</v>
      </c>
      <c r="E42" t="s">
        <v>9</v>
      </c>
      <c r="F42">
        <v>1</v>
      </c>
    </row>
    <row r="43" spans="1:6" x14ac:dyDescent="0.3">
      <c r="A43" t="s">
        <v>44</v>
      </c>
      <c r="B43" t="s">
        <v>37</v>
      </c>
      <c r="C43" t="s">
        <v>37</v>
      </c>
      <c r="D43" t="s">
        <v>9</v>
      </c>
      <c r="E43" t="s">
        <v>9</v>
      </c>
      <c r="F43">
        <v>1</v>
      </c>
    </row>
    <row r="44" spans="1:6" x14ac:dyDescent="0.3">
      <c r="A44" s="1" t="s">
        <v>28</v>
      </c>
      <c r="B44" s="1" t="s">
        <v>37</v>
      </c>
      <c r="C44" s="1" t="s">
        <v>37</v>
      </c>
      <c r="D44" s="1" t="s">
        <v>9</v>
      </c>
      <c r="E44" s="1" t="s">
        <v>8</v>
      </c>
      <c r="F44" s="1">
        <v>0</v>
      </c>
    </row>
    <row r="45" spans="1:6" x14ac:dyDescent="0.3">
      <c r="A45" t="s">
        <v>49</v>
      </c>
      <c r="B45" t="s">
        <v>37</v>
      </c>
      <c r="C45" t="s">
        <v>37</v>
      </c>
      <c r="D45" t="s">
        <v>9</v>
      </c>
      <c r="E45" t="s">
        <v>9</v>
      </c>
      <c r="F45">
        <v>1</v>
      </c>
    </row>
    <row r="46" spans="1:6" x14ac:dyDescent="0.3">
      <c r="A46" s="1" t="s">
        <v>42</v>
      </c>
      <c r="B46" s="1" t="s">
        <v>37</v>
      </c>
      <c r="C46" s="1" t="s">
        <v>37</v>
      </c>
      <c r="D46" s="1" t="s">
        <v>9</v>
      </c>
      <c r="E46" s="1" t="s">
        <v>8</v>
      </c>
      <c r="F46" s="1">
        <v>0</v>
      </c>
    </row>
  </sheetData>
  <sortState xmlns:xlrd2="http://schemas.microsoft.com/office/spreadsheetml/2017/richdata2" ref="A2:F78">
    <sortCondition descending="1" ref="C1:C7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ADF4-49D9-4039-8A32-21222ACAC430}">
  <dimension ref="A1:J46"/>
  <sheetViews>
    <sheetView workbookViewId="0">
      <selection activeCell="J9" sqref="J9:J10"/>
    </sheetView>
  </sheetViews>
  <sheetFormatPr defaultRowHeight="14.4" x14ac:dyDescent="0.3"/>
  <cols>
    <col min="1" max="1" width="18.5546875" customWidth="1"/>
    <col min="2" max="2" width="17.44140625" customWidth="1"/>
    <col min="3" max="3" width="18.21875" customWidth="1"/>
    <col min="4" max="4" width="19.109375" customWidth="1"/>
    <col min="5" max="5" width="18.88671875" customWidth="1"/>
    <col min="6" max="6" width="17.44140625" customWidth="1"/>
    <col min="9" max="9" width="17.77734375" customWidth="1"/>
    <col min="10" max="10" width="1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s="1" t="s">
        <v>20</v>
      </c>
      <c r="B2" s="1" t="s">
        <v>35</v>
      </c>
      <c r="C2" s="1" t="s">
        <v>7</v>
      </c>
      <c r="D2" s="1" t="s">
        <v>8</v>
      </c>
      <c r="E2" s="1" t="s">
        <v>9</v>
      </c>
      <c r="F2" s="1">
        <v>0</v>
      </c>
    </row>
    <row r="3" spans="1:10" x14ac:dyDescent="0.3">
      <c r="A3" t="s">
        <v>38</v>
      </c>
      <c r="B3" t="s">
        <v>35</v>
      </c>
      <c r="C3" t="s">
        <v>7</v>
      </c>
      <c r="D3" t="s">
        <v>8</v>
      </c>
      <c r="E3" t="s">
        <v>8</v>
      </c>
      <c r="F3">
        <v>1</v>
      </c>
    </row>
    <row r="4" spans="1:10" x14ac:dyDescent="0.3">
      <c r="A4" s="1" t="s">
        <v>26</v>
      </c>
      <c r="B4" s="1" t="s">
        <v>35</v>
      </c>
      <c r="C4" s="1" t="s">
        <v>7</v>
      </c>
      <c r="D4" s="1" t="s">
        <v>8</v>
      </c>
      <c r="E4" s="1" t="s">
        <v>9</v>
      </c>
      <c r="F4" s="1">
        <v>0</v>
      </c>
    </row>
    <row r="5" spans="1:10" x14ac:dyDescent="0.3">
      <c r="A5" t="s">
        <v>34</v>
      </c>
      <c r="B5" t="s">
        <v>35</v>
      </c>
      <c r="C5" t="s">
        <v>7</v>
      </c>
      <c r="D5" t="s">
        <v>8</v>
      </c>
      <c r="E5" t="s">
        <v>8</v>
      </c>
      <c r="F5">
        <v>1</v>
      </c>
    </row>
    <row r="6" spans="1:10" x14ac:dyDescent="0.3">
      <c r="A6" s="1" t="s">
        <v>53</v>
      </c>
      <c r="B6" s="1" t="s">
        <v>35</v>
      </c>
      <c r="C6" s="1" t="s">
        <v>7</v>
      </c>
      <c r="D6" s="1" t="s">
        <v>8</v>
      </c>
      <c r="E6" s="1" t="s">
        <v>9</v>
      </c>
      <c r="F6" s="1">
        <v>0</v>
      </c>
    </row>
    <row r="7" spans="1:10" x14ac:dyDescent="0.3">
      <c r="A7" t="s">
        <v>41</v>
      </c>
      <c r="B7" t="s">
        <v>35</v>
      </c>
      <c r="C7" t="s">
        <v>7</v>
      </c>
      <c r="D7" t="s">
        <v>8</v>
      </c>
      <c r="E7" t="s">
        <v>8</v>
      </c>
      <c r="F7">
        <v>1</v>
      </c>
    </row>
    <row r="8" spans="1:10" x14ac:dyDescent="0.3">
      <c r="A8" t="s">
        <v>10</v>
      </c>
      <c r="B8" t="s">
        <v>35</v>
      </c>
      <c r="C8" t="s">
        <v>7</v>
      </c>
      <c r="D8" t="s">
        <v>8</v>
      </c>
      <c r="E8" t="s">
        <v>8</v>
      </c>
      <c r="F8">
        <v>1</v>
      </c>
    </row>
    <row r="9" spans="1:10" x14ac:dyDescent="0.3">
      <c r="A9" s="1" t="s">
        <v>21</v>
      </c>
      <c r="B9" s="1" t="s">
        <v>35</v>
      </c>
      <c r="C9" s="1" t="s">
        <v>7</v>
      </c>
      <c r="D9" s="1" t="s">
        <v>8</v>
      </c>
      <c r="E9" s="1" t="s">
        <v>9</v>
      </c>
      <c r="F9" s="1">
        <v>0</v>
      </c>
      <c r="I9" t="s">
        <v>56</v>
      </c>
      <c r="J9" s="2">
        <f>AVERAGEIF(C:C, "shallow", F:F)</f>
        <v>0.46666666666666667</v>
      </c>
    </row>
    <row r="10" spans="1:10" x14ac:dyDescent="0.3">
      <c r="A10" t="s">
        <v>30</v>
      </c>
      <c r="B10" t="s">
        <v>35</v>
      </c>
      <c r="C10" t="s">
        <v>7</v>
      </c>
      <c r="D10" t="s">
        <v>8</v>
      </c>
      <c r="E10" t="s">
        <v>8</v>
      </c>
      <c r="F10">
        <v>1</v>
      </c>
      <c r="I10" t="s">
        <v>57</v>
      </c>
      <c r="J10" s="2">
        <f>AVERAGEIF(C:C, "deep", F:F)</f>
        <v>0.93333333333333335</v>
      </c>
    </row>
    <row r="11" spans="1:10" x14ac:dyDescent="0.3">
      <c r="A11" s="1" t="s">
        <v>52</v>
      </c>
      <c r="B11" s="1" t="s">
        <v>35</v>
      </c>
      <c r="C11" s="1" t="s">
        <v>7</v>
      </c>
      <c r="D11" s="1" t="s">
        <v>8</v>
      </c>
      <c r="E11" s="1" t="s">
        <v>9</v>
      </c>
      <c r="F11" s="1">
        <v>0</v>
      </c>
    </row>
    <row r="12" spans="1:10" x14ac:dyDescent="0.3">
      <c r="A12" s="1" t="s">
        <v>50</v>
      </c>
      <c r="B12" s="1" t="s">
        <v>35</v>
      </c>
      <c r="C12" s="1" t="s">
        <v>7</v>
      </c>
      <c r="D12" s="1" t="s">
        <v>8</v>
      </c>
      <c r="E12" s="1" t="s">
        <v>9</v>
      </c>
      <c r="F12" s="1">
        <v>0</v>
      </c>
    </row>
    <row r="13" spans="1:10" x14ac:dyDescent="0.3">
      <c r="A13" s="1" t="s">
        <v>27</v>
      </c>
      <c r="B13" s="1" t="s">
        <v>35</v>
      </c>
      <c r="C13" s="1" t="s">
        <v>7</v>
      </c>
      <c r="D13" s="1" t="s">
        <v>8</v>
      </c>
      <c r="E13" s="1" t="s">
        <v>9</v>
      </c>
      <c r="F13" s="1">
        <v>0</v>
      </c>
    </row>
    <row r="14" spans="1:10" x14ac:dyDescent="0.3">
      <c r="A14" t="s">
        <v>6</v>
      </c>
      <c r="B14" t="s">
        <v>35</v>
      </c>
      <c r="C14" t="s">
        <v>7</v>
      </c>
      <c r="D14" t="s">
        <v>8</v>
      </c>
      <c r="E14" t="s">
        <v>8</v>
      </c>
      <c r="F14">
        <v>1</v>
      </c>
    </row>
    <row r="15" spans="1:10" x14ac:dyDescent="0.3">
      <c r="A15" s="1" t="s">
        <v>33</v>
      </c>
      <c r="B15" s="1" t="s">
        <v>35</v>
      </c>
      <c r="C15" s="1" t="s">
        <v>7</v>
      </c>
      <c r="D15" s="1" t="s">
        <v>8</v>
      </c>
      <c r="E15" s="1" t="s">
        <v>9</v>
      </c>
      <c r="F15" s="1">
        <v>0</v>
      </c>
    </row>
    <row r="16" spans="1:10" x14ac:dyDescent="0.3">
      <c r="A16" t="s">
        <v>29</v>
      </c>
      <c r="B16" t="s">
        <v>35</v>
      </c>
      <c r="C16" t="s">
        <v>7</v>
      </c>
      <c r="D16" t="s">
        <v>8</v>
      </c>
      <c r="E16" t="s">
        <v>8</v>
      </c>
      <c r="F16">
        <v>1</v>
      </c>
    </row>
    <row r="17" spans="1:6" x14ac:dyDescent="0.3">
      <c r="A17" t="s">
        <v>19</v>
      </c>
      <c r="B17" t="s">
        <v>35</v>
      </c>
      <c r="C17" t="s">
        <v>12</v>
      </c>
      <c r="D17" t="s">
        <v>8</v>
      </c>
      <c r="E17" t="s">
        <v>8</v>
      </c>
      <c r="F17">
        <v>1</v>
      </c>
    </row>
    <row r="18" spans="1:6" x14ac:dyDescent="0.3">
      <c r="A18" t="s">
        <v>13</v>
      </c>
      <c r="B18" t="s">
        <v>35</v>
      </c>
      <c r="C18" t="s">
        <v>12</v>
      </c>
      <c r="D18" t="s">
        <v>8</v>
      </c>
      <c r="E18" t="s">
        <v>8</v>
      </c>
      <c r="F18">
        <v>1</v>
      </c>
    </row>
    <row r="19" spans="1:6" x14ac:dyDescent="0.3">
      <c r="A19" t="s">
        <v>25</v>
      </c>
      <c r="B19" t="s">
        <v>35</v>
      </c>
      <c r="C19" t="s">
        <v>12</v>
      </c>
      <c r="D19" t="s">
        <v>8</v>
      </c>
      <c r="E19" t="s">
        <v>8</v>
      </c>
      <c r="F19">
        <v>1</v>
      </c>
    </row>
    <row r="20" spans="1:6" x14ac:dyDescent="0.3">
      <c r="A20" t="s">
        <v>18</v>
      </c>
      <c r="B20" t="s">
        <v>35</v>
      </c>
      <c r="C20" t="s">
        <v>12</v>
      </c>
      <c r="D20" t="s">
        <v>8</v>
      </c>
      <c r="E20" t="s">
        <v>8</v>
      </c>
      <c r="F20">
        <v>1</v>
      </c>
    </row>
    <row r="21" spans="1:6" x14ac:dyDescent="0.3">
      <c r="A21" t="s">
        <v>24</v>
      </c>
      <c r="B21" t="s">
        <v>35</v>
      </c>
      <c r="C21" t="s">
        <v>12</v>
      </c>
      <c r="D21" t="s">
        <v>8</v>
      </c>
      <c r="E21" t="s">
        <v>8</v>
      </c>
      <c r="F21">
        <v>1</v>
      </c>
    </row>
    <row r="22" spans="1:6" x14ac:dyDescent="0.3">
      <c r="A22" s="1" t="s">
        <v>15</v>
      </c>
      <c r="B22" s="1" t="s">
        <v>35</v>
      </c>
      <c r="C22" s="1" t="s">
        <v>12</v>
      </c>
      <c r="D22" s="1" t="s">
        <v>8</v>
      </c>
      <c r="E22" s="1" t="s">
        <v>9</v>
      </c>
      <c r="F22" s="1">
        <v>0</v>
      </c>
    </row>
    <row r="23" spans="1:6" x14ac:dyDescent="0.3">
      <c r="A23" t="s">
        <v>16</v>
      </c>
      <c r="B23" t="s">
        <v>35</v>
      </c>
      <c r="C23" t="s">
        <v>12</v>
      </c>
      <c r="D23" t="s">
        <v>8</v>
      </c>
      <c r="E23" t="s">
        <v>8</v>
      </c>
      <c r="F23">
        <v>1</v>
      </c>
    </row>
    <row r="24" spans="1:6" x14ac:dyDescent="0.3">
      <c r="A24" t="s">
        <v>17</v>
      </c>
      <c r="B24" t="s">
        <v>35</v>
      </c>
      <c r="C24" t="s">
        <v>12</v>
      </c>
      <c r="D24" t="s">
        <v>8</v>
      </c>
      <c r="E24" t="s">
        <v>8</v>
      </c>
      <c r="F24">
        <v>1</v>
      </c>
    </row>
    <row r="25" spans="1:6" x14ac:dyDescent="0.3">
      <c r="A25" t="s">
        <v>31</v>
      </c>
      <c r="B25" t="s">
        <v>35</v>
      </c>
      <c r="C25" t="s">
        <v>12</v>
      </c>
      <c r="D25" t="s">
        <v>8</v>
      </c>
      <c r="E25" t="s">
        <v>8</v>
      </c>
      <c r="F25">
        <v>1</v>
      </c>
    </row>
    <row r="26" spans="1:6" x14ac:dyDescent="0.3">
      <c r="A26" t="s">
        <v>32</v>
      </c>
      <c r="B26" t="s">
        <v>35</v>
      </c>
      <c r="C26" t="s">
        <v>12</v>
      </c>
      <c r="D26" t="s">
        <v>8</v>
      </c>
      <c r="E26" t="s">
        <v>8</v>
      </c>
      <c r="F26">
        <v>1</v>
      </c>
    </row>
    <row r="27" spans="1:6" x14ac:dyDescent="0.3">
      <c r="A27" t="s">
        <v>23</v>
      </c>
      <c r="B27" t="s">
        <v>35</v>
      </c>
      <c r="C27" t="s">
        <v>12</v>
      </c>
      <c r="D27" t="s">
        <v>8</v>
      </c>
      <c r="E27" t="s">
        <v>8</v>
      </c>
      <c r="F27">
        <v>1</v>
      </c>
    </row>
    <row r="28" spans="1:6" x14ac:dyDescent="0.3">
      <c r="A28" t="s">
        <v>22</v>
      </c>
      <c r="B28" t="s">
        <v>35</v>
      </c>
      <c r="C28" t="s">
        <v>12</v>
      </c>
      <c r="D28" t="s">
        <v>8</v>
      </c>
      <c r="E28" t="s">
        <v>8</v>
      </c>
      <c r="F28">
        <v>1</v>
      </c>
    </row>
    <row r="29" spans="1:6" x14ac:dyDescent="0.3">
      <c r="A29" t="s">
        <v>28</v>
      </c>
      <c r="B29" t="s">
        <v>35</v>
      </c>
      <c r="C29" t="s">
        <v>12</v>
      </c>
      <c r="D29" t="s">
        <v>8</v>
      </c>
      <c r="E29" t="s">
        <v>8</v>
      </c>
      <c r="F29">
        <v>1</v>
      </c>
    </row>
    <row r="30" spans="1:6" x14ac:dyDescent="0.3">
      <c r="A30" t="s">
        <v>11</v>
      </c>
      <c r="B30" t="s">
        <v>35</v>
      </c>
      <c r="C30" t="s">
        <v>12</v>
      </c>
      <c r="D30" t="s">
        <v>8</v>
      </c>
      <c r="E30" t="s">
        <v>8</v>
      </c>
      <c r="F30">
        <v>1</v>
      </c>
    </row>
    <row r="31" spans="1:6" x14ac:dyDescent="0.3">
      <c r="A31" t="s">
        <v>14</v>
      </c>
      <c r="B31" t="s">
        <v>35</v>
      </c>
      <c r="C31" t="s">
        <v>12</v>
      </c>
      <c r="D31" t="s">
        <v>8</v>
      </c>
      <c r="E31" t="s">
        <v>8</v>
      </c>
      <c r="F31">
        <v>1</v>
      </c>
    </row>
    <row r="32" spans="1:6" x14ac:dyDescent="0.3">
      <c r="A32" t="s">
        <v>44</v>
      </c>
      <c r="B32" t="s">
        <v>37</v>
      </c>
      <c r="C32" t="s">
        <v>37</v>
      </c>
      <c r="D32" t="s">
        <v>9</v>
      </c>
      <c r="E32" t="s">
        <v>9</v>
      </c>
      <c r="F32">
        <v>1</v>
      </c>
    </row>
    <row r="33" spans="1:6" x14ac:dyDescent="0.3">
      <c r="A33" t="s">
        <v>48</v>
      </c>
      <c r="B33" t="s">
        <v>37</v>
      </c>
      <c r="C33" t="s">
        <v>37</v>
      </c>
      <c r="D33" t="s">
        <v>9</v>
      </c>
      <c r="E33" t="s">
        <v>9</v>
      </c>
      <c r="F33">
        <v>1</v>
      </c>
    </row>
    <row r="34" spans="1:6" x14ac:dyDescent="0.3">
      <c r="A34" t="s">
        <v>49</v>
      </c>
      <c r="B34" t="s">
        <v>37</v>
      </c>
      <c r="C34" t="s">
        <v>37</v>
      </c>
      <c r="D34" t="s">
        <v>9</v>
      </c>
      <c r="E34" t="s">
        <v>9</v>
      </c>
      <c r="F34">
        <v>1</v>
      </c>
    </row>
    <row r="35" spans="1:6" x14ac:dyDescent="0.3">
      <c r="A35" t="s">
        <v>45</v>
      </c>
      <c r="B35" t="s">
        <v>37</v>
      </c>
      <c r="C35" t="s">
        <v>37</v>
      </c>
      <c r="D35" t="s">
        <v>9</v>
      </c>
      <c r="E35" t="s">
        <v>9</v>
      </c>
      <c r="F35">
        <v>1</v>
      </c>
    </row>
    <row r="36" spans="1:6" x14ac:dyDescent="0.3">
      <c r="A36" t="s">
        <v>54</v>
      </c>
      <c r="B36" t="s">
        <v>37</v>
      </c>
      <c r="C36" t="s">
        <v>37</v>
      </c>
      <c r="D36" t="s">
        <v>9</v>
      </c>
      <c r="E36" t="s">
        <v>9</v>
      </c>
      <c r="F36">
        <v>1</v>
      </c>
    </row>
    <row r="37" spans="1:6" x14ac:dyDescent="0.3">
      <c r="A37" t="s">
        <v>47</v>
      </c>
      <c r="B37" t="s">
        <v>37</v>
      </c>
      <c r="C37" t="s">
        <v>37</v>
      </c>
      <c r="D37" t="s">
        <v>9</v>
      </c>
      <c r="E37" t="s">
        <v>9</v>
      </c>
      <c r="F37">
        <v>1</v>
      </c>
    </row>
    <row r="38" spans="1:6" x14ac:dyDescent="0.3">
      <c r="A38" t="s">
        <v>55</v>
      </c>
      <c r="B38" t="s">
        <v>37</v>
      </c>
      <c r="C38" t="s">
        <v>37</v>
      </c>
      <c r="D38" t="s">
        <v>9</v>
      </c>
      <c r="E38" t="s">
        <v>9</v>
      </c>
      <c r="F38">
        <v>1</v>
      </c>
    </row>
    <row r="39" spans="1:6" x14ac:dyDescent="0.3">
      <c r="A39" t="s">
        <v>36</v>
      </c>
      <c r="B39" t="s">
        <v>37</v>
      </c>
      <c r="C39" t="s">
        <v>37</v>
      </c>
      <c r="D39" t="s">
        <v>9</v>
      </c>
      <c r="E39" t="s">
        <v>9</v>
      </c>
      <c r="F39">
        <v>1</v>
      </c>
    </row>
    <row r="40" spans="1:6" x14ac:dyDescent="0.3">
      <c r="A40" s="1" t="s">
        <v>28</v>
      </c>
      <c r="B40" s="1" t="s">
        <v>37</v>
      </c>
      <c r="C40" s="1" t="s">
        <v>37</v>
      </c>
      <c r="D40" s="1" t="s">
        <v>9</v>
      </c>
      <c r="E40" s="1" t="s">
        <v>8</v>
      </c>
      <c r="F40" s="1">
        <v>0</v>
      </c>
    </row>
    <row r="41" spans="1:6" x14ac:dyDescent="0.3">
      <c r="A41" t="s">
        <v>40</v>
      </c>
      <c r="B41" t="s">
        <v>37</v>
      </c>
      <c r="C41" t="s">
        <v>37</v>
      </c>
      <c r="D41" t="s">
        <v>9</v>
      </c>
      <c r="E41" t="s">
        <v>9</v>
      </c>
      <c r="F41">
        <v>1</v>
      </c>
    </row>
    <row r="42" spans="1:6" x14ac:dyDescent="0.3">
      <c r="A42" t="s">
        <v>51</v>
      </c>
      <c r="B42" t="s">
        <v>37</v>
      </c>
      <c r="C42" t="s">
        <v>37</v>
      </c>
      <c r="D42" t="s">
        <v>9</v>
      </c>
      <c r="E42" t="s">
        <v>9</v>
      </c>
      <c r="F42">
        <v>1</v>
      </c>
    </row>
    <row r="43" spans="1:6" x14ac:dyDescent="0.3">
      <c r="A43" t="s">
        <v>39</v>
      </c>
      <c r="B43" t="s">
        <v>37</v>
      </c>
      <c r="C43" t="s">
        <v>37</v>
      </c>
      <c r="D43" t="s">
        <v>9</v>
      </c>
      <c r="E43" t="s">
        <v>9</v>
      </c>
      <c r="F43">
        <v>1</v>
      </c>
    </row>
    <row r="44" spans="1:6" x14ac:dyDescent="0.3">
      <c r="A44" t="s">
        <v>46</v>
      </c>
      <c r="B44" t="s">
        <v>37</v>
      </c>
      <c r="C44" t="s">
        <v>37</v>
      </c>
      <c r="D44" t="s">
        <v>9</v>
      </c>
      <c r="E44" t="s">
        <v>9</v>
      </c>
      <c r="F44">
        <v>1</v>
      </c>
    </row>
    <row r="45" spans="1:6" x14ac:dyDescent="0.3">
      <c r="A45" s="1" t="s">
        <v>43</v>
      </c>
      <c r="B45" s="1" t="s">
        <v>37</v>
      </c>
      <c r="C45" s="1" t="s">
        <v>37</v>
      </c>
      <c r="D45" s="1" t="s">
        <v>9</v>
      </c>
      <c r="E45" s="1" t="s">
        <v>8</v>
      </c>
      <c r="F45" s="1">
        <v>0</v>
      </c>
    </row>
    <row r="46" spans="1:6" x14ac:dyDescent="0.3">
      <c r="A46" t="s">
        <v>42</v>
      </c>
      <c r="B46" t="s">
        <v>37</v>
      </c>
      <c r="C46" t="s">
        <v>37</v>
      </c>
      <c r="D46" t="s">
        <v>9</v>
      </c>
      <c r="E46" t="s">
        <v>9</v>
      </c>
      <c r="F46">
        <v>1</v>
      </c>
    </row>
  </sheetData>
  <sortState xmlns:xlrd2="http://schemas.microsoft.com/office/spreadsheetml/2017/richdata2" ref="A2:F78">
    <sortCondition descending="1" ref="C1:C7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A175-3DBE-409E-97A5-EF75F7A16FFB}">
  <dimension ref="A1:J46"/>
  <sheetViews>
    <sheetView workbookViewId="0">
      <selection activeCell="J9" sqref="J9"/>
    </sheetView>
  </sheetViews>
  <sheetFormatPr defaultRowHeight="14.4" x14ac:dyDescent="0.3"/>
  <cols>
    <col min="1" max="1" width="18.33203125" customWidth="1"/>
    <col min="2" max="2" width="18.88671875" customWidth="1"/>
    <col min="3" max="3" width="17.77734375" customWidth="1"/>
    <col min="4" max="4" width="18.77734375" customWidth="1"/>
    <col min="5" max="5" width="19.21875" customWidth="1"/>
    <col min="6" max="6" width="20.109375" customWidth="1"/>
    <col min="9" max="9" width="17.6640625" customWidth="1"/>
    <col min="10" max="10" width="17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s="1" t="s">
        <v>26</v>
      </c>
      <c r="B2" s="1" t="s">
        <v>35</v>
      </c>
      <c r="C2" s="1" t="s">
        <v>7</v>
      </c>
      <c r="D2" s="1" t="s">
        <v>8</v>
      </c>
      <c r="E2" s="1" t="s">
        <v>9</v>
      </c>
      <c r="F2" s="1">
        <v>0</v>
      </c>
    </row>
    <row r="3" spans="1:10" x14ac:dyDescent="0.3">
      <c r="A3" t="s">
        <v>10</v>
      </c>
      <c r="B3" t="s">
        <v>35</v>
      </c>
      <c r="C3" t="s">
        <v>7</v>
      </c>
      <c r="D3" t="s">
        <v>8</v>
      </c>
      <c r="E3" t="s">
        <v>8</v>
      </c>
      <c r="F3">
        <v>1</v>
      </c>
    </row>
    <row r="4" spans="1:10" x14ac:dyDescent="0.3">
      <c r="A4" s="1" t="s">
        <v>41</v>
      </c>
      <c r="B4" s="1" t="s">
        <v>35</v>
      </c>
      <c r="C4" s="1" t="s">
        <v>7</v>
      </c>
      <c r="D4" s="1" t="s">
        <v>8</v>
      </c>
      <c r="E4" s="1" t="s">
        <v>9</v>
      </c>
      <c r="F4" s="1">
        <v>0</v>
      </c>
    </row>
    <row r="5" spans="1:10" x14ac:dyDescent="0.3">
      <c r="A5" s="1" t="s">
        <v>27</v>
      </c>
      <c r="B5" s="1" t="s">
        <v>35</v>
      </c>
      <c r="C5" s="1" t="s">
        <v>7</v>
      </c>
      <c r="D5" s="1" t="s">
        <v>8</v>
      </c>
      <c r="E5" s="1" t="s">
        <v>9</v>
      </c>
      <c r="F5" s="1">
        <v>0</v>
      </c>
    </row>
    <row r="6" spans="1:10" x14ac:dyDescent="0.3">
      <c r="A6" t="s">
        <v>33</v>
      </c>
      <c r="B6" t="s">
        <v>35</v>
      </c>
      <c r="C6" t="s">
        <v>7</v>
      </c>
      <c r="D6" t="s">
        <v>8</v>
      </c>
      <c r="E6" t="s">
        <v>8</v>
      </c>
      <c r="F6">
        <v>1</v>
      </c>
    </row>
    <row r="7" spans="1:10" x14ac:dyDescent="0.3">
      <c r="A7" s="1" t="s">
        <v>20</v>
      </c>
      <c r="B7" s="1" t="s">
        <v>35</v>
      </c>
      <c r="C7" s="1" t="s">
        <v>7</v>
      </c>
      <c r="D7" s="1" t="s">
        <v>8</v>
      </c>
      <c r="E7" s="1" t="s">
        <v>9</v>
      </c>
      <c r="F7" s="1">
        <v>0</v>
      </c>
    </row>
    <row r="8" spans="1:10" x14ac:dyDescent="0.3">
      <c r="A8" t="s">
        <v>53</v>
      </c>
      <c r="B8" t="s">
        <v>35</v>
      </c>
      <c r="C8" t="s">
        <v>7</v>
      </c>
      <c r="D8" t="s">
        <v>8</v>
      </c>
      <c r="E8" t="s">
        <v>8</v>
      </c>
      <c r="F8">
        <v>1</v>
      </c>
    </row>
    <row r="9" spans="1:10" x14ac:dyDescent="0.3">
      <c r="A9" t="s">
        <v>6</v>
      </c>
      <c r="B9" t="s">
        <v>35</v>
      </c>
      <c r="C9" t="s">
        <v>7</v>
      </c>
      <c r="D9" t="s">
        <v>8</v>
      </c>
      <c r="E9" t="s">
        <v>8</v>
      </c>
      <c r="F9">
        <v>1</v>
      </c>
      <c r="I9" t="s">
        <v>56</v>
      </c>
      <c r="J9">
        <f>AVERAGEIF(C:C, "shallow", F:F)</f>
        <v>0.4</v>
      </c>
    </row>
    <row r="10" spans="1:10" x14ac:dyDescent="0.3">
      <c r="A10" s="1" t="s">
        <v>50</v>
      </c>
      <c r="B10" s="1" t="s">
        <v>35</v>
      </c>
      <c r="C10" s="1" t="s">
        <v>7</v>
      </c>
      <c r="D10" s="1" t="s">
        <v>8</v>
      </c>
      <c r="E10" s="1" t="s">
        <v>9</v>
      </c>
      <c r="F10" s="1">
        <v>0</v>
      </c>
      <c r="I10" t="s">
        <v>57</v>
      </c>
      <c r="J10">
        <f>AVERAGEIF(C:C, "deep", F:F)</f>
        <v>1</v>
      </c>
    </row>
    <row r="11" spans="1:10" x14ac:dyDescent="0.3">
      <c r="A11" s="1" t="s">
        <v>21</v>
      </c>
      <c r="B11" s="1" t="s">
        <v>35</v>
      </c>
      <c r="C11" s="1" t="s">
        <v>7</v>
      </c>
      <c r="D11" s="1" t="s">
        <v>8</v>
      </c>
      <c r="E11" s="1" t="s">
        <v>9</v>
      </c>
      <c r="F11" s="1">
        <v>0</v>
      </c>
    </row>
    <row r="12" spans="1:10" x14ac:dyDescent="0.3">
      <c r="A12" s="1" t="s">
        <v>52</v>
      </c>
      <c r="B12" s="1" t="s">
        <v>35</v>
      </c>
      <c r="C12" s="1" t="s">
        <v>7</v>
      </c>
      <c r="D12" s="1" t="s">
        <v>8</v>
      </c>
      <c r="E12" s="1" t="s">
        <v>9</v>
      </c>
      <c r="F12" s="1">
        <v>0</v>
      </c>
    </row>
    <row r="13" spans="1:10" x14ac:dyDescent="0.3">
      <c r="A13" s="1" t="s">
        <v>30</v>
      </c>
      <c r="B13" s="1" t="s">
        <v>35</v>
      </c>
      <c r="C13" s="1" t="s">
        <v>7</v>
      </c>
      <c r="D13" s="1" t="s">
        <v>8</v>
      </c>
      <c r="E13" s="1" t="s">
        <v>9</v>
      </c>
      <c r="F13" s="1">
        <v>0</v>
      </c>
    </row>
    <row r="14" spans="1:10" x14ac:dyDescent="0.3">
      <c r="A14" t="s">
        <v>38</v>
      </c>
      <c r="B14" t="s">
        <v>35</v>
      </c>
      <c r="C14" t="s">
        <v>7</v>
      </c>
      <c r="D14" t="s">
        <v>8</v>
      </c>
      <c r="E14" t="s">
        <v>8</v>
      </c>
      <c r="F14">
        <v>1</v>
      </c>
    </row>
    <row r="15" spans="1:10" x14ac:dyDescent="0.3">
      <c r="A15" t="s">
        <v>34</v>
      </c>
      <c r="B15" t="s">
        <v>35</v>
      </c>
      <c r="C15" t="s">
        <v>7</v>
      </c>
      <c r="D15" t="s">
        <v>8</v>
      </c>
      <c r="E15" t="s">
        <v>8</v>
      </c>
      <c r="F15">
        <v>1</v>
      </c>
    </row>
    <row r="16" spans="1:10" x14ac:dyDescent="0.3">
      <c r="A16" s="1" t="s">
        <v>29</v>
      </c>
      <c r="B16" s="1" t="s">
        <v>35</v>
      </c>
      <c r="C16" s="1" t="s">
        <v>7</v>
      </c>
      <c r="D16" s="1" t="s">
        <v>8</v>
      </c>
      <c r="E16" s="1" t="s">
        <v>9</v>
      </c>
      <c r="F16" s="1">
        <v>0</v>
      </c>
    </row>
    <row r="17" spans="1:6" x14ac:dyDescent="0.3">
      <c r="A17" t="s">
        <v>25</v>
      </c>
      <c r="B17" t="s">
        <v>35</v>
      </c>
      <c r="C17" t="s">
        <v>12</v>
      </c>
      <c r="D17" t="s">
        <v>8</v>
      </c>
      <c r="E17" t="s">
        <v>8</v>
      </c>
      <c r="F17">
        <v>1</v>
      </c>
    </row>
    <row r="18" spans="1:6" x14ac:dyDescent="0.3">
      <c r="A18" t="s">
        <v>15</v>
      </c>
      <c r="B18" t="s">
        <v>35</v>
      </c>
      <c r="C18" t="s">
        <v>12</v>
      </c>
      <c r="D18" t="s">
        <v>8</v>
      </c>
      <c r="E18" t="s">
        <v>8</v>
      </c>
      <c r="F18">
        <v>1</v>
      </c>
    </row>
    <row r="19" spans="1:6" x14ac:dyDescent="0.3">
      <c r="A19" t="s">
        <v>31</v>
      </c>
      <c r="B19" t="s">
        <v>35</v>
      </c>
      <c r="C19" t="s">
        <v>12</v>
      </c>
      <c r="D19" t="s">
        <v>8</v>
      </c>
      <c r="E19" t="s">
        <v>8</v>
      </c>
      <c r="F19">
        <v>1</v>
      </c>
    </row>
    <row r="20" spans="1:6" x14ac:dyDescent="0.3">
      <c r="A20" t="s">
        <v>32</v>
      </c>
      <c r="B20" t="s">
        <v>35</v>
      </c>
      <c r="C20" t="s">
        <v>12</v>
      </c>
      <c r="D20" t="s">
        <v>8</v>
      </c>
      <c r="E20" t="s">
        <v>8</v>
      </c>
      <c r="F20">
        <v>1</v>
      </c>
    </row>
    <row r="21" spans="1:6" x14ac:dyDescent="0.3">
      <c r="A21" t="s">
        <v>28</v>
      </c>
      <c r="B21" t="s">
        <v>35</v>
      </c>
      <c r="C21" t="s">
        <v>12</v>
      </c>
      <c r="D21" t="s">
        <v>8</v>
      </c>
      <c r="E21" t="s">
        <v>8</v>
      </c>
      <c r="F21">
        <v>1</v>
      </c>
    </row>
    <row r="22" spans="1:6" x14ac:dyDescent="0.3">
      <c r="A22" t="s">
        <v>22</v>
      </c>
      <c r="B22" t="s">
        <v>35</v>
      </c>
      <c r="C22" t="s">
        <v>12</v>
      </c>
      <c r="D22" t="s">
        <v>8</v>
      </c>
      <c r="E22" t="s">
        <v>8</v>
      </c>
      <c r="F22">
        <v>1</v>
      </c>
    </row>
    <row r="23" spans="1:6" x14ac:dyDescent="0.3">
      <c r="A23" t="s">
        <v>11</v>
      </c>
      <c r="B23" t="s">
        <v>35</v>
      </c>
      <c r="C23" t="s">
        <v>12</v>
      </c>
      <c r="D23" t="s">
        <v>8</v>
      </c>
      <c r="E23" t="s">
        <v>8</v>
      </c>
      <c r="F23">
        <v>1</v>
      </c>
    </row>
    <row r="24" spans="1:6" x14ac:dyDescent="0.3">
      <c r="A24" t="s">
        <v>13</v>
      </c>
      <c r="B24" t="s">
        <v>35</v>
      </c>
      <c r="C24" t="s">
        <v>12</v>
      </c>
      <c r="D24" t="s">
        <v>8</v>
      </c>
      <c r="E24" t="s">
        <v>8</v>
      </c>
      <c r="F24">
        <v>1</v>
      </c>
    </row>
    <row r="25" spans="1:6" x14ac:dyDescent="0.3">
      <c r="A25" t="s">
        <v>19</v>
      </c>
      <c r="B25" t="s">
        <v>35</v>
      </c>
      <c r="C25" t="s">
        <v>12</v>
      </c>
      <c r="D25" t="s">
        <v>8</v>
      </c>
      <c r="E25" t="s">
        <v>8</v>
      </c>
      <c r="F25">
        <v>1</v>
      </c>
    </row>
    <row r="26" spans="1:6" x14ac:dyDescent="0.3">
      <c r="A26" t="s">
        <v>14</v>
      </c>
      <c r="B26" t="s">
        <v>35</v>
      </c>
      <c r="C26" t="s">
        <v>12</v>
      </c>
      <c r="D26" t="s">
        <v>8</v>
      </c>
      <c r="E26" t="s">
        <v>8</v>
      </c>
      <c r="F26">
        <v>1</v>
      </c>
    </row>
    <row r="27" spans="1:6" x14ac:dyDescent="0.3">
      <c r="A27" t="s">
        <v>23</v>
      </c>
      <c r="B27" t="s">
        <v>35</v>
      </c>
      <c r="C27" t="s">
        <v>12</v>
      </c>
      <c r="D27" t="s">
        <v>8</v>
      </c>
      <c r="E27" t="s">
        <v>8</v>
      </c>
      <c r="F27">
        <v>1</v>
      </c>
    </row>
    <row r="28" spans="1:6" x14ac:dyDescent="0.3">
      <c r="A28" t="s">
        <v>16</v>
      </c>
      <c r="B28" t="s">
        <v>35</v>
      </c>
      <c r="C28" t="s">
        <v>12</v>
      </c>
      <c r="D28" t="s">
        <v>8</v>
      </c>
      <c r="E28" t="s">
        <v>8</v>
      </c>
      <c r="F28">
        <v>1</v>
      </c>
    </row>
    <row r="29" spans="1:6" x14ac:dyDescent="0.3">
      <c r="A29" t="s">
        <v>24</v>
      </c>
      <c r="B29" t="s">
        <v>35</v>
      </c>
      <c r="C29" t="s">
        <v>12</v>
      </c>
      <c r="D29" t="s">
        <v>8</v>
      </c>
      <c r="E29" t="s">
        <v>8</v>
      </c>
      <c r="F29">
        <v>1</v>
      </c>
    </row>
    <row r="30" spans="1:6" x14ac:dyDescent="0.3">
      <c r="A30" t="s">
        <v>17</v>
      </c>
      <c r="B30" t="s">
        <v>35</v>
      </c>
      <c r="C30" t="s">
        <v>12</v>
      </c>
      <c r="D30" t="s">
        <v>8</v>
      </c>
      <c r="E30" t="s">
        <v>8</v>
      </c>
      <c r="F30">
        <v>1</v>
      </c>
    </row>
    <row r="31" spans="1:6" x14ac:dyDescent="0.3">
      <c r="A31" t="s">
        <v>18</v>
      </c>
      <c r="B31" t="s">
        <v>35</v>
      </c>
      <c r="C31" t="s">
        <v>12</v>
      </c>
      <c r="D31" t="s">
        <v>8</v>
      </c>
      <c r="E31" t="s">
        <v>8</v>
      </c>
      <c r="F31">
        <v>1</v>
      </c>
    </row>
    <row r="32" spans="1:6" x14ac:dyDescent="0.3">
      <c r="A32" t="s">
        <v>40</v>
      </c>
      <c r="B32" t="s">
        <v>37</v>
      </c>
      <c r="C32" t="s">
        <v>37</v>
      </c>
      <c r="D32" t="s">
        <v>9</v>
      </c>
      <c r="E32" t="s">
        <v>9</v>
      </c>
      <c r="F32">
        <v>1</v>
      </c>
    </row>
    <row r="33" spans="1:6" x14ac:dyDescent="0.3">
      <c r="A33" t="s">
        <v>46</v>
      </c>
      <c r="B33" t="s">
        <v>37</v>
      </c>
      <c r="C33" t="s">
        <v>37</v>
      </c>
      <c r="D33" t="s">
        <v>9</v>
      </c>
      <c r="E33" t="s">
        <v>9</v>
      </c>
      <c r="F33">
        <v>1</v>
      </c>
    </row>
    <row r="34" spans="1:6" x14ac:dyDescent="0.3">
      <c r="A34" t="s">
        <v>39</v>
      </c>
      <c r="B34" t="s">
        <v>37</v>
      </c>
      <c r="C34" t="s">
        <v>37</v>
      </c>
      <c r="D34" t="s">
        <v>9</v>
      </c>
      <c r="E34" t="s">
        <v>9</v>
      </c>
      <c r="F34">
        <v>1</v>
      </c>
    </row>
    <row r="35" spans="1:6" x14ac:dyDescent="0.3">
      <c r="A35" t="s">
        <v>36</v>
      </c>
      <c r="B35" t="s">
        <v>37</v>
      </c>
      <c r="C35" t="s">
        <v>37</v>
      </c>
      <c r="D35" t="s">
        <v>9</v>
      </c>
      <c r="E35" t="s">
        <v>9</v>
      </c>
      <c r="F35">
        <v>1</v>
      </c>
    </row>
    <row r="36" spans="1:6" x14ac:dyDescent="0.3">
      <c r="A36" t="s">
        <v>42</v>
      </c>
      <c r="B36" t="s">
        <v>37</v>
      </c>
      <c r="C36" t="s">
        <v>37</v>
      </c>
      <c r="D36" t="s">
        <v>9</v>
      </c>
      <c r="E36" t="s">
        <v>9</v>
      </c>
      <c r="F36">
        <v>1</v>
      </c>
    </row>
    <row r="37" spans="1:6" x14ac:dyDescent="0.3">
      <c r="A37" t="s">
        <v>44</v>
      </c>
      <c r="B37" t="s">
        <v>37</v>
      </c>
      <c r="C37" t="s">
        <v>37</v>
      </c>
      <c r="D37" t="s">
        <v>9</v>
      </c>
      <c r="E37" t="s">
        <v>9</v>
      </c>
      <c r="F37">
        <v>1</v>
      </c>
    </row>
    <row r="38" spans="1:6" x14ac:dyDescent="0.3">
      <c r="A38" t="s">
        <v>49</v>
      </c>
      <c r="B38" t="s">
        <v>37</v>
      </c>
      <c r="C38" t="s">
        <v>37</v>
      </c>
      <c r="D38" t="s">
        <v>9</v>
      </c>
      <c r="E38" t="s">
        <v>9</v>
      </c>
      <c r="F38">
        <v>1</v>
      </c>
    </row>
    <row r="39" spans="1:6" x14ac:dyDescent="0.3">
      <c r="A39" t="s">
        <v>54</v>
      </c>
      <c r="B39" t="s">
        <v>37</v>
      </c>
      <c r="C39" t="s">
        <v>37</v>
      </c>
      <c r="D39" t="s">
        <v>9</v>
      </c>
      <c r="E39" t="s">
        <v>9</v>
      </c>
      <c r="F39">
        <v>1</v>
      </c>
    </row>
    <row r="40" spans="1:6" x14ac:dyDescent="0.3">
      <c r="A40" t="s">
        <v>48</v>
      </c>
      <c r="B40" t="s">
        <v>37</v>
      </c>
      <c r="C40" t="s">
        <v>37</v>
      </c>
      <c r="D40" t="s">
        <v>9</v>
      </c>
      <c r="E40" t="s">
        <v>9</v>
      </c>
      <c r="F40">
        <v>1</v>
      </c>
    </row>
    <row r="41" spans="1:6" x14ac:dyDescent="0.3">
      <c r="A41" t="s">
        <v>55</v>
      </c>
      <c r="B41" t="s">
        <v>37</v>
      </c>
      <c r="C41" t="s">
        <v>37</v>
      </c>
      <c r="D41" t="s">
        <v>9</v>
      </c>
      <c r="E41" t="s">
        <v>9</v>
      </c>
      <c r="F41">
        <v>1</v>
      </c>
    </row>
    <row r="42" spans="1:6" x14ac:dyDescent="0.3">
      <c r="A42" t="s">
        <v>47</v>
      </c>
      <c r="B42" t="s">
        <v>37</v>
      </c>
      <c r="C42" t="s">
        <v>37</v>
      </c>
      <c r="D42" t="s">
        <v>9</v>
      </c>
      <c r="E42" t="s">
        <v>9</v>
      </c>
      <c r="F42">
        <v>1</v>
      </c>
    </row>
    <row r="43" spans="1:6" x14ac:dyDescent="0.3">
      <c r="A43" t="s">
        <v>51</v>
      </c>
      <c r="B43" t="s">
        <v>37</v>
      </c>
      <c r="C43" t="s">
        <v>37</v>
      </c>
      <c r="D43" t="s">
        <v>9</v>
      </c>
      <c r="E43" t="s">
        <v>9</v>
      </c>
      <c r="F43">
        <v>1</v>
      </c>
    </row>
    <row r="44" spans="1:6" x14ac:dyDescent="0.3">
      <c r="A44" t="s">
        <v>45</v>
      </c>
      <c r="B44" t="s">
        <v>37</v>
      </c>
      <c r="C44" t="s">
        <v>37</v>
      </c>
      <c r="D44" t="s">
        <v>9</v>
      </c>
      <c r="E44" t="s">
        <v>9</v>
      </c>
      <c r="F44">
        <v>1</v>
      </c>
    </row>
    <row r="45" spans="1:6" x14ac:dyDescent="0.3">
      <c r="A45" t="s">
        <v>43</v>
      </c>
      <c r="B45" t="s">
        <v>37</v>
      </c>
      <c r="C45" t="s">
        <v>37</v>
      </c>
      <c r="D45" t="s">
        <v>9</v>
      </c>
      <c r="E45" t="s">
        <v>9</v>
      </c>
      <c r="F45">
        <v>1</v>
      </c>
    </row>
    <row r="46" spans="1:6" x14ac:dyDescent="0.3">
      <c r="A46" s="1" t="s">
        <v>28</v>
      </c>
      <c r="B46" s="1" t="s">
        <v>37</v>
      </c>
      <c r="C46" s="1" t="s">
        <v>37</v>
      </c>
      <c r="D46" s="1" t="s">
        <v>9</v>
      </c>
      <c r="E46" s="1" t="s">
        <v>8</v>
      </c>
      <c r="F46" s="1">
        <v>0</v>
      </c>
    </row>
  </sheetData>
  <sortState xmlns:xlrd2="http://schemas.microsoft.com/office/spreadsheetml/2017/richdata2" ref="A2:F78">
    <sortCondition descending="1" ref="C1:C7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3890-D312-4DE0-8093-5E3FBFB74C30}">
  <dimension ref="A1:C13"/>
  <sheetViews>
    <sheetView tabSelected="1" workbookViewId="0">
      <selection activeCell="A18" sqref="A18"/>
    </sheetView>
  </sheetViews>
  <sheetFormatPr defaultRowHeight="14.4" x14ac:dyDescent="0.3"/>
  <cols>
    <col min="1" max="1" width="17.6640625" customWidth="1"/>
    <col min="2" max="2" width="17.33203125" customWidth="1"/>
    <col min="3" max="3" width="17.21875" customWidth="1"/>
  </cols>
  <sheetData>
    <row r="1" spans="1:3" x14ac:dyDescent="0.3">
      <c r="A1" s="3" t="s">
        <v>58</v>
      </c>
      <c r="B1" s="3" t="s">
        <v>59</v>
      </c>
      <c r="C1" s="3" t="s">
        <v>60</v>
      </c>
    </row>
    <row r="2" spans="1:3" x14ac:dyDescent="0.3">
      <c r="A2" s="3">
        <v>1</v>
      </c>
      <c r="B2" s="4">
        <v>0.33333333333333331</v>
      </c>
      <c r="C2" s="4">
        <v>0.93333333333333335</v>
      </c>
    </row>
    <row r="3" spans="1:3" x14ac:dyDescent="0.3">
      <c r="A3" s="3">
        <v>2</v>
      </c>
      <c r="B3" s="4">
        <v>0.8</v>
      </c>
      <c r="C3" s="4">
        <v>0.93333333333333335</v>
      </c>
    </row>
    <row r="4" spans="1:3" x14ac:dyDescent="0.3">
      <c r="A4" s="3">
        <v>3</v>
      </c>
      <c r="B4" s="4">
        <v>0.66666666666666663</v>
      </c>
      <c r="C4" s="4">
        <v>0.8</v>
      </c>
    </row>
    <row r="5" spans="1:3" x14ac:dyDescent="0.3">
      <c r="A5" s="3">
        <v>4</v>
      </c>
      <c r="B5" s="4">
        <v>0.46666666666666667</v>
      </c>
      <c r="C5" s="4">
        <v>0.93333333333333335</v>
      </c>
    </row>
    <row r="6" spans="1:3" x14ac:dyDescent="0.3">
      <c r="A6" s="3">
        <v>5</v>
      </c>
      <c r="B6" s="4">
        <v>0.4</v>
      </c>
      <c r="C6" s="4">
        <v>1</v>
      </c>
    </row>
    <row r="10" spans="1:3" x14ac:dyDescent="0.3">
      <c r="A10" s="3" t="s">
        <v>62</v>
      </c>
      <c r="B10" s="4">
        <f>AVERAGE(B2:B6)</f>
        <v>0.53333333333333333</v>
      </c>
    </row>
    <row r="11" spans="1:3" x14ac:dyDescent="0.3">
      <c r="A11" s="3" t="s">
        <v>61</v>
      </c>
      <c r="B11" s="4">
        <f>AVERAGE(C2:C6)</f>
        <v>0.92000000000000015</v>
      </c>
    </row>
    <row r="12" spans="1:3" x14ac:dyDescent="0.3">
      <c r="A12" s="3" t="s">
        <v>63</v>
      </c>
      <c r="B12" s="4">
        <f>_xlfn.STDEV.S(B2:B6)</f>
        <v>0.19436506316151037</v>
      </c>
    </row>
    <row r="13" spans="1:3" x14ac:dyDescent="0.3">
      <c r="A13" s="3" t="s">
        <v>64</v>
      </c>
      <c r="B13" s="4">
        <f>_xlfn.STDEV.S(C2:C6)</f>
        <v>7.3029674334022132E-2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2025-11-23T08:01:09Z</dcterms:modified>
</cp:coreProperties>
</file>